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ewin\Downloads\Proyecto_QA_SauceDemo_NTTDATA\Proyecto_QA_SauceDemo_NTTDATA\docs\"/>
    </mc:Choice>
  </mc:AlternateContent>
  <xr:revisionPtr revIDLastSave="0" documentId="13_ncr:1_{1C173353-12C3-436C-89C5-06F0BAB572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" sheetId="1" r:id="rId1"/>
    <sheet name="Casos_Prueba" sheetId="2" r:id="rId2"/>
    <sheet name="Matriz_Trazabilidad" sheetId="3" r:id="rId3"/>
    <sheet name="Datos_Prueba" sheetId="4" r:id="rId4"/>
    <sheet name="Defect_Lo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G6" i="1"/>
  <c r="E6" i="1"/>
  <c r="G4" i="1"/>
  <c r="E4" i="1"/>
</calcChain>
</file>

<file path=xl/sharedStrings.xml><?xml version="1.0" encoding="utf-8"?>
<sst xmlns="http://schemas.openxmlformats.org/spreadsheetml/2006/main" count="779" uniqueCount="375">
  <si>
    <t>Proyecto QA Funcional + Automatización – SauceDemo</t>
  </si>
  <si>
    <t>Portafolio orientado a QA Funcional Junior | Enfoque ISTQB + Playwright</t>
  </si>
  <si>
    <t>Sistema bajo prueba</t>
  </si>
  <si>
    <t>SauceDemo / Swag Labs</t>
  </si>
  <si>
    <t>Total casos</t>
  </si>
  <si>
    <t>Alta prioridad</t>
  </si>
  <si>
    <t>URL</t>
  </si>
  <si>
    <t>https://www.saucedemo.com/</t>
  </si>
  <si>
    <t>Versión del documento</t>
  </si>
  <si>
    <t>1.0</t>
  </si>
  <si>
    <t>Automatizables</t>
  </si>
  <si>
    <t>Smoke</t>
  </si>
  <si>
    <t>Fecha</t>
  </si>
  <si>
    <t>08/03/2026</t>
  </si>
  <si>
    <t>Cobertura por módulo</t>
  </si>
  <si>
    <t>Leyenda</t>
  </si>
  <si>
    <t>Módulo</t>
  </si>
  <si>
    <t>Casos</t>
  </si>
  <si>
    <t>Input manual</t>
  </si>
  <si>
    <t>Azul</t>
  </si>
  <si>
    <t>Login</t>
  </si>
  <si>
    <t>Fórmula / KPI</t>
  </si>
  <si>
    <t>Negro</t>
  </si>
  <si>
    <t>Inventario</t>
  </si>
  <si>
    <t>Revisión</t>
  </si>
  <si>
    <t>Naranja</t>
  </si>
  <si>
    <t>Carrito</t>
  </si>
  <si>
    <t>Riesgo / defecto</t>
  </si>
  <si>
    <t>Rojo suave</t>
  </si>
  <si>
    <t>Checkout</t>
  </si>
  <si>
    <t>Menú</t>
  </si>
  <si>
    <t>Tip de portafolio: usa la hoja Casos_Prueba como evidencia principal, la hoja Matriz_Trazabilidad para demostrar criterio y el directorio automation/ para enseñar tu base de automatización.</t>
  </si>
  <si>
    <t>ID</t>
  </si>
  <si>
    <t>Requisito</t>
  </si>
  <si>
    <t>Escenario</t>
  </si>
  <si>
    <t>Objetivo</t>
  </si>
  <si>
    <t>Tipo_Prueba</t>
  </si>
  <si>
    <t>Diseño_ISTQB</t>
  </si>
  <si>
    <t>Prioridad</t>
  </si>
  <si>
    <t>Automatizable</t>
  </si>
  <si>
    <t>Precondiciones</t>
  </si>
  <si>
    <t>Datos_Prueba</t>
  </si>
  <si>
    <t>Pasos</t>
  </si>
  <si>
    <t>Resultado_Esperado</t>
  </si>
  <si>
    <t>Estado_Ejecución</t>
  </si>
  <si>
    <t>Observaciones</t>
  </si>
  <si>
    <t>Fuente</t>
  </si>
  <si>
    <t>TC-LOGIN-001</t>
  </si>
  <si>
    <t>RQ-LOGIN-01</t>
  </si>
  <si>
    <t>Login válido con standard_user</t>
  </si>
  <si>
    <t>Validar acceso correcto y redirección al inventario.</t>
  </si>
  <si>
    <t>Funcional / Smoke</t>
  </si>
  <si>
    <t>Partición de equivalencia</t>
  </si>
  <si>
    <t>Alta</t>
  </si>
  <si>
    <t>Sí</t>
  </si>
  <si>
    <t>Usuario standard_user disponible. Navegador abierto en https://www.saucedemo.com/</t>
  </si>
  <si>
    <t>Usuario: standard_user | Password: secret_sauce</t>
  </si>
  <si>
    <t>1. Ingresar usuario.
2. Ingresar contraseña.
3. Clic en Login.</t>
  </si>
  <si>
    <t>El sistema redirige a /inventory.html y muestra el listado de productos.</t>
  </si>
  <si>
    <t>No Ejecutado</t>
  </si>
  <si>
    <t>Caso crítico de smoke/regresión.</t>
  </si>
  <si>
    <t>TC-LOGIN-002</t>
  </si>
  <si>
    <t>RQ-LOGIN-03</t>
  </si>
  <si>
    <t>Intento de login con usuario bloqueado</t>
  </si>
  <si>
    <t>Comprobar mensaje de bloqueo para locked_out_user.</t>
  </si>
  <si>
    <t>Funcional / Negativa</t>
  </si>
  <si>
    <t>Página de login disponible.</t>
  </si>
  <si>
    <t>Usuario: locked_out_user | Password: secret_sauce</t>
  </si>
  <si>
    <t>1. Ingresar usuario bloqueado.
2. Ingresar contraseña válida.
3. Clic en Login.</t>
  </si>
  <si>
    <t>Se muestra mensaje de usuario bloqueado y no se concede acceso.</t>
  </si>
  <si>
    <t>Importante para validación negativa.</t>
  </si>
  <si>
    <t>TC-LOGIN-003</t>
  </si>
  <si>
    <t>RQ-LOGIN-02</t>
  </si>
  <si>
    <t>Login con usuario vacío</t>
  </si>
  <si>
    <t>Validar mensaje cuando falta el usuario.</t>
  </si>
  <si>
    <t>Tabla de decisión</t>
  </si>
  <si>
    <t>Usuario: vacío | Password: secret_sauce</t>
  </si>
  <si>
    <t>1. Dejar vacío usuario.
2. Ingresar contraseña.
3. Clic en Login.</t>
  </si>
  <si>
    <t>Se muestra error indicando que Username is required.</t>
  </si>
  <si>
    <t>Campo obligatorio.</t>
  </si>
  <si>
    <t>TC-LOGIN-004</t>
  </si>
  <si>
    <t>Login con contraseña vacía</t>
  </si>
  <si>
    <t>Validar mensaje cuando falta la contraseña.</t>
  </si>
  <si>
    <t>Usuario: standard_user | Password: vacío</t>
  </si>
  <si>
    <t>1. Ingresar usuario.
2. Dejar vacía contraseña.
3. Clic en Login.</t>
  </si>
  <si>
    <t>Se muestra error indicando que Password is required.</t>
  </si>
  <si>
    <t>TC-LOGIN-005</t>
  </si>
  <si>
    <t>Login con ambos campos vacíos</t>
  </si>
  <si>
    <t>Validar control básico de formulario.</t>
  </si>
  <si>
    <t>Usuario: vacío | Password: vacío</t>
  </si>
  <si>
    <t>1. No ingresar datos.
2. Clic en Login.</t>
  </si>
  <si>
    <t>Cobertura de validación.</t>
  </si>
  <si>
    <t>TC-LOGIN-006</t>
  </si>
  <si>
    <t>Login con contraseña inválida</t>
  </si>
  <si>
    <t>Validar rechazo de credenciales incorrectas.</t>
  </si>
  <si>
    <t>Usuario: standard_user | Password: wrong_password</t>
  </si>
  <si>
    <t>1. Ingresar usuario válido.
2. Ingresar contraseña inválida.
3. Clic en Login.</t>
  </si>
  <si>
    <t>No se permite acceso y se muestra mensaje de credenciales inválidas.</t>
  </si>
  <si>
    <t/>
  </si>
  <si>
    <t>TC-LOGIN-007</t>
  </si>
  <si>
    <t>Login con usuario inválido</t>
  </si>
  <si>
    <t>Validar rechazo de usuario inexistente.</t>
  </si>
  <si>
    <t>Usuario: usuario_inexistente | Password: secret_sauce</t>
  </si>
  <si>
    <t>1. Ingresar usuario inválido.
2. Ingresar contraseña.
3. Clic en Login.</t>
  </si>
  <si>
    <t>TC-LOGIN-008</t>
  </si>
  <si>
    <t>Persistencia de sesión al refrescar inventario</t>
  </si>
  <si>
    <t>Verificar que la sesión iniciada permanece al refrescar.</t>
  </si>
  <si>
    <t>Funcional</t>
  </si>
  <si>
    <t>Transición de estados</t>
  </si>
  <si>
    <t>Media</t>
  </si>
  <si>
    <t>No</t>
  </si>
  <si>
    <t>Usuario autenticado en inventario.</t>
  </si>
  <si>
    <t>N/A</t>
  </si>
  <si>
    <t>1. Iniciar sesión.
2. Refrescar la página del inventario.</t>
  </si>
  <si>
    <t>El usuario permanece autenticado y visualiza el inventario.</t>
  </si>
  <si>
    <t>Útil para exploratoria.</t>
  </si>
  <si>
    <t>TC-LOGIN-009</t>
  </si>
  <si>
    <t>RQ-MENU-01</t>
  </si>
  <si>
    <t>Logout desde menú lateral</t>
  </si>
  <si>
    <t>Confirmar cierre de sesión correcto.</t>
  </si>
  <si>
    <t>1. Abrir menú lateral.
2. Clic en Logout.</t>
  </si>
  <si>
    <t>El sistema vuelve a la página de login y no permite continuar autenticado.</t>
  </si>
  <si>
    <t>TC-SEC-001</t>
  </si>
  <si>
    <t>Acceso directo a inventory sin autenticación</t>
  </si>
  <si>
    <t>Comprobar control mínimo de acceso a URL protegida.</t>
  </si>
  <si>
    <t>Error guessing</t>
  </si>
  <si>
    <t>No haber iniciado sesión.</t>
  </si>
  <si>
    <t>URL directa: /inventory.html</t>
  </si>
  <si>
    <t>1. Abrir la URL del inventario sin autenticarse.</t>
  </si>
  <si>
    <t>El sistema redirige al login o evita el uso funcional del inventario.</t>
  </si>
  <si>
    <t>Validación exploratoria por comportamiento real.</t>
  </si>
  <si>
    <t>TC-INV-001</t>
  </si>
  <si>
    <t>RQ-INV-01</t>
  </si>
  <si>
    <t>Carga completa del inventario</t>
  </si>
  <si>
    <t>Validar que se muestren los 6 productos base.</t>
  </si>
  <si>
    <t>Valor esperado</t>
  </si>
  <si>
    <t>Usuario autenticado con standard_user.</t>
  </si>
  <si>
    <t>1. Iniciar sesión.
2. Revisar listado del inventario.</t>
  </si>
  <si>
    <t>Se muestran 6 productos con información completa.</t>
  </si>
  <si>
    <t>Caso base de catálogo.</t>
  </si>
  <si>
    <t>TC-INV-002</t>
  </si>
  <si>
    <t>Visualización de datos del producto</t>
  </si>
  <si>
    <t>Comprobar que nombre, descripción, precio e imagen estén visibles por cada producto.</t>
  </si>
  <si>
    <t>Funcional / UI</t>
  </si>
  <si>
    <t>Checklist</t>
  </si>
  <si>
    <t>Usuario autenticado.</t>
  </si>
  <si>
    <t>1. Iniciar sesión.
2. Revisar tarjetas de producto.</t>
  </si>
  <si>
    <t>Cada producto muestra nombre, descripción, precio e imagen.</t>
  </si>
  <si>
    <t>TC-INV-003</t>
  </si>
  <si>
    <t>RQ-INV-02</t>
  </si>
  <si>
    <t>Ordenar productos de A a Z</t>
  </si>
  <si>
    <t>Validar orden alfabético ascendente.</t>
  </si>
  <si>
    <t>Orden: Name (A to Z)</t>
  </si>
  <si>
    <t>1. Seleccionar orden A to Z.
2. Comparar secuencia de nombres.</t>
  </si>
  <si>
    <t>Los productos se ordenan alfabéticamente de A a Z.</t>
  </si>
  <si>
    <t>TC-INV-004</t>
  </si>
  <si>
    <t>Ordenar productos de Z a A</t>
  </si>
  <si>
    <t>Validar orden alfabético descendente.</t>
  </si>
  <si>
    <t>Orden: Name (Z to A)</t>
  </si>
  <si>
    <t>1. Seleccionar orden Z to A.
2. Comparar secuencia de nombres.</t>
  </si>
  <si>
    <t>Los productos se ordenan alfabéticamente de Z a A.</t>
  </si>
  <si>
    <t>TC-INV-005</t>
  </si>
  <si>
    <t>Ordenar productos por precio ascendente</t>
  </si>
  <si>
    <t>Validar orden de menor a mayor precio.</t>
  </si>
  <si>
    <t>Orden: Price (low to high)</t>
  </si>
  <si>
    <t>1. Seleccionar orden low to high.
2. Comparar precios.</t>
  </si>
  <si>
    <t>Los precios se ordenan de menor a mayor.</t>
  </si>
  <si>
    <t>Muy útil para automatización.</t>
  </si>
  <si>
    <t>TC-INV-006</t>
  </si>
  <si>
    <t>Ordenar productos por precio descendente</t>
  </si>
  <si>
    <t>Validar orden de mayor a menor precio.</t>
  </si>
  <si>
    <t>Orden: Price (high to low)</t>
  </si>
  <si>
    <t>1. Seleccionar orden high to low.
2. Comparar precios.</t>
  </si>
  <si>
    <t>Los precios se ordenan de mayor a menor.</t>
  </si>
  <si>
    <t>TC-INV-007</t>
  </si>
  <si>
    <t>RQ-INV-03</t>
  </si>
  <si>
    <t>Abrir detalle de producto desde el nombre</t>
  </si>
  <si>
    <t>Validar navegación al detalle.</t>
  </si>
  <si>
    <t>Producto: Sauce Labs Backpack</t>
  </si>
  <si>
    <t>1. Clic en el nombre del producto.
2. Revisar vista de detalle.</t>
  </si>
  <si>
    <t>Se abre la ficha del producto con datos consistentes.</t>
  </si>
  <si>
    <t>TC-INV-008</t>
  </si>
  <si>
    <t>Regresar del detalle al inventario</t>
  </si>
  <si>
    <t>Comprobar retorno mediante Back to products.</t>
  </si>
  <si>
    <t>Usuario ubicado en el detalle de un producto.</t>
  </si>
  <si>
    <t>1. Clic en Back to products.</t>
  </si>
  <si>
    <t>El usuario vuelve al inventario sin pérdida de contexto crítica.</t>
  </si>
  <si>
    <t>TC-CART-001</t>
  </si>
  <si>
    <t>RQ-CART-01</t>
  </si>
  <si>
    <t>Agregar un producto desde inventario</t>
  </si>
  <si>
    <t>Verificar alta al carrito y actualización del badge.</t>
  </si>
  <si>
    <t>1. Clic en Add to cart del producto.
2. Observar badge del carrito.</t>
  </si>
  <si>
    <t>El badge muestra 1 y el botón cambia a Remove.</t>
  </si>
  <si>
    <t>TC-CART-002</t>
  </si>
  <si>
    <t>Agregar múltiples productos</t>
  </si>
  <si>
    <t>Validar contador acumulado del carrito.</t>
  </si>
  <si>
    <t>Productos: Backpack, Bike Light, Onesie</t>
  </si>
  <si>
    <t>1. Agregar 3 productos.
2. Observar badge.</t>
  </si>
  <si>
    <t>El badge muestra 3 y los productos quedan en el carrito.</t>
  </si>
  <si>
    <t>TC-CART-003</t>
  </si>
  <si>
    <t>RQ-CART-02</t>
  </si>
  <si>
    <t>Eliminar producto desde inventario</t>
  </si>
  <si>
    <t>Validar remoción y actualización del badge.</t>
  </si>
  <si>
    <t>Usuario autenticado con al menos 1 producto agregado.</t>
  </si>
  <si>
    <t>1. Clic en Remove.
2. Observar badge.</t>
  </si>
  <si>
    <t>El producto se elimina y el badge disminuye correctamente.</t>
  </si>
  <si>
    <t>TC-CART-004</t>
  </si>
  <si>
    <t>Agregar producto desde detalle</t>
  </si>
  <si>
    <t>Comprobar que también se pueda agregar desde la ficha de producto.</t>
  </si>
  <si>
    <t>Usuario autenticado en detalle de producto.</t>
  </si>
  <si>
    <t>Producto: Sauce Labs Bike Light</t>
  </si>
  <si>
    <t>1. Abrir detalle.
2. Clic en Add to cart.</t>
  </si>
  <si>
    <t>El producto se agrega y el badge se actualiza.</t>
  </si>
  <si>
    <t>TC-CART-005</t>
  </si>
  <si>
    <t>RQ-CART-03</t>
  </si>
  <si>
    <t>Persistencia del carrito al navegar</t>
  </si>
  <si>
    <t>Validar que el carrito se conserve entre vistas.</t>
  </si>
  <si>
    <t>Usuario autenticado con productos agregados.</t>
  </si>
  <si>
    <t>1. Agregar productos.
2. Ir a detalle.
3. Volver a inventario.
4. Abrir carrito.</t>
  </si>
  <si>
    <t>Los mismos productos siguen presentes en el carrito.</t>
  </si>
  <si>
    <t>TC-CART-006</t>
  </si>
  <si>
    <t>Visualización correcta del carrito</t>
  </si>
  <si>
    <t>Validar nombre, cantidad, descripción y precio en cart.html.</t>
  </si>
  <si>
    <t>1. Abrir carrito.
2. Revisar información de los ítems.</t>
  </si>
  <si>
    <t>Cada ítem muestra nombre, cantidad, descripción y precio correctos.</t>
  </si>
  <si>
    <t>TC-CART-007</t>
  </si>
  <si>
    <t>Eliminar producto desde el carrito</t>
  </si>
  <si>
    <t>Comprobar remoción desde cart.html.</t>
  </si>
  <si>
    <t>Usuario autenticado con productos en el carrito.</t>
  </si>
  <si>
    <t>1. Abrir carrito.
2. Clic en Remove del producto.</t>
  </si>
  <si>
    <t>El producto desaparece del carrito y el badge se actualiza.</t>
  </si>
  <si>
    <t>TC-CART-008</t>
  </si>
  <si>
    <t>Continue Shopping desde carrito</t>
  </si>
  <si>
    <t>Validar retorno al inventario.</t>
  </si>
  <si>
    <t>Baja</t>
  </si>
  <si>
    <t>Usuario ubicado en cart.html.</t>
  </si>
  <si>
    <t>1. Clic en Continue Shopping.</t>
  </si>
  <si>
    <t>El usuario vuelve a inventory.html.</t>
  </si>
  <si>
    <t>TC-CHK-001</t>
  </si>
  <si>
    <t>RQ-CHK-01</t>
  </si>
  <si>
    <t>Navegar al formulario de checkout</t>
  </si>
  <si>
    <t>Verificar acceso al Step One.</t>
  </si>
  <si>
    <t>Usuario con al menos 1 producto en carrito.</t>
  </si>
  <si>
    <t>1. Abrir carrito.
2. Clic en Checkout.</t>
  </si>
  <si>
    <t>Se muestra el formulario Checkout: Your Information.</t>
  </si>
  <si>
    <t>TC-CHK-002</t>
  </si>
  <si>
    <t>RQ-CHK-02</t>
  </si>
  <si>
    <t>Validación de First Name obligatorio</t>
  </si>
  <si>
    <t>Comprobar mensaje cuando falta First Name.</t>
  </si>
  <si>
    <t>Usuario ubicado en checkout step one.</t>
  </si>
  <si>
    <t>First Name: vacío | Last Name: Tester | Postal Code: 15001</t>
  </si>
  <si>
    <t>1. Completar apellido y código postal.
2. Dejar First Name vacío.
3. Clic en Continue.</t>
  </si>
  <si>
    <t>Se muestra mensaje indicando que First Name is required.</t>
  </si>
  <si>
    <t>TC-CHK-003</t>
  </si>
  <si>
    <t>Validación de Last Name obligatorio</t>
  </si>
  <si>
    <t>Comprobar mensaje cuando falta Last Name.</t>
  </si>
  <si>
    <t>First Name: Ana | Last Name: vacío | Postal Code: 15001</t>
  </si>
  <si>
    <t>1. Completar nombre y código postal.
2. Dejar Last Name vacío.
3. Clic en Continue.</t>
  </si>
  <si>
    <t>Se muestra mensaje indicando que Last Name is required.</t>
  </si>
  <si>
    <t>TC-CHK-004</t>
  </si>
  <si>
    <t>Validación de Postal Code obligatorio</t>
  </si>
  <si>
    <t>Comprobar mensaje cuando falta Postal Code.</t>
  </si>
  <si>
    <t>First Name: Ana | Last Name: Tester | Postal Code: vacío</t>
  </si>
  <si>
    <t>1. Completar nombre y apellido.
2. Dejar Postal Code vacío.
3. Clic en Continue.</t>
  </si>
  <si>
    <t>Se muestra mensaje indicando que Postal Code is required.</t>
  </si>
  <si>
    <t>TC-CHK-005</t>
  </si>
  <si>
    <t>Cancel en Step One</t>
  </si>
  <si>
    <t>Validar retorno al carrito al cancelar.</t>
  </si>
  <si>
    <t>1. Clic en Cancel.</t>
  </si>
  <si>
    <t>El usuario vuelve al carrito sin perder productos.</t>
  </si>
  <si>
    <t>TC-CHK-006</t>
  </si>
  <si>
    <t>RQ-CHK-03</t>
  </si>
  <si>
    <t>Resumen de compra y cálculo de subtotal</t>
  </si>
  <si>
    <t>Validar que subtotal sea suma de productos seleccionados.</t>
  </si>
  <si>
    <t>Usuario con productos agregados y datos válidos en step one.</t>
  </si>
  <si>
    <t>Productos: Backpack (29.99) + Bike Light (9.99)</t>
  </si>
  <si>
    <t>1. Completar Step One.
2. Continuar a Overview.
3. Revisar subtotal.</t>
  </si>
  <si>
    <t>El subtotal coincide con la suma de precios mostrados en el carrito.</t>
  </si>
  <si>
    <t>TC-CHK-007</t>
  </si>
  <si>
    <t>Visualización de tax y total</t>
  </si>
  <si>
    <t>Verificar que se muestren Tax y Total en Overview.</t>
  </si>
  <si>
    <t>Usuario ubicado en checkout step two.</t>
  </si>
  <si>
    <t>1. Revisar Summary Info.</t>
  </si>
  <si>
    <t>Se muestran Item total, Tax y Total.</t>
  </si>
  <si>
    <t>TC-CHK-008</t>
  </si>
  <si>
    <t>RQ-CHK-04</t>
  </si>
  <si>
    <t>Finalizar compra exitosa</t>
  </si>
  <si>
    <t>Validar mensaje de compra completada.</t>
  </si>
  <si>
    <t>Usuario ubicado en checkout step two con datos válidos.</t>
  </si>
  <si>
    <t>1. Clic en Finish.</t>
  </si>
  <si>
    <t>Se muestra mensaje THANK YOU FOR YOUR ORDER y se vacía el carrito.</t>
  </si>
  <si>
    <t>Caso ideal E2E.</t>
  </si>
  <si>
    <t>TC-CHK-009</t>
  </si>
  <si>
    <t>Back Home desde pantalla de confirmación</t>
  </si>
  <si>
    <t>Validar retorno al inventario luego de completar la orden.</t>
  </si>
  <si>
    <t>Usuario en checkout complete.</t>
  </si>
  <si>
    <t>1. Clic en Back Home.</t>
  </si>
  <si>
    <t>El usuario vuelve al inventario y el badge del carrito no muestra productos pendientes.</t>
  </si>
  <si>
    <t>TC-MENU-001</t>
  </si>
  <si>
    <t>RQ-MENU-02</t>
  </si>
  <si>
    <t>Reset App State limpia carrito</t>
  </si>
  <si>
    <t>Validar restauración del estado de la app.</t>
  </si>
  <si>
    <t>Funcional / Regresión</t>
  </si>
  <si>
    <t>1. Abrir menú.
2. Clic en Reset App State.
3. Revisar badge/carrito.</t>
  </si>
  <si>
    <t>El badge desaparece y el estado de productos vuelve al valor inicial.</t>
  </si>
  <si>
    <t>Matriz de Trazabilidad</t>
  </si>
  <si>
    <t>Req_ID</t>
  </si>
  <si>
    <t>Casos asociados</t>
  </si>
  <si>
    <t>Cantidad</t>
  </si>
  <si>
    <t>Cobertura automatizada</t>
  </si>
  <si>
    <t>El sistema permite iniciar sesión con credenciales válidas y redirige al inventario.</t>
  </si>
  <si>
    <t>TC-LOGIN-001, TC-LOGIN-008, TC-SEC-001</t>
  </si>
  <si>
    <t>El sistema muestra mensajes claros cuando usuario/contraseña son inválidos o están vacíos.</t>
  </si>
  <si>
    <t>TC-LOGIN-003, TC-LOGIN-004, TC-LOGIN-005, TC-LOGIN-006, TC-LOGIN-007</t>
  </si>
  <si>
    <t>El sistema impide el acceso al usuario bloqueado.</t>
  </si>
  <si>
    <t>Después del login, el inventario muestra los productos con nombre, descripción, precio e imagen.</t>
  </si>
  <si>
    <t>TC-INV-001, TC-INV-002</t>
  </si>
  <si>
    <t>El usuario puede ordenar productos por nombre y precio.</t>
  </si>
  <si>
    <t>TC-INV-003, TC-INV-004, TC-INV-005, TC-INV-006</t>
  </si>
  <si>
    <t>El usuario puede abrir el detalle de un producto y regresar al inventario.</t>
  </si>
  <si>
    <t>TC-INV-007, TC-INV-008</t>
  </si>
  <si>
    <t>El usuario puede agregar productos al carrito desde listado o detalle.</t>
  </si>
  <si>
    <t>TC-CART-001, TC-CART-002, TC-CART-004</t>
  </si>
  <si>
    <t>El usuario puede eliminar productos y el contador del carrito se actualiza.</t>
  </si>
  <si>
    <t>TC-CART-003, TC-CART-007</t>
  </si>
  <si>
    <t>El carrito mantiene los productos durante la sesión y la navegación.</t>
  </si>
  <si>
    <t>TC-CART-005, TC-CART-006, TC-CART-008</t>
  </si>
  <si>
    <t>El usuario puede iniciar checkout desde el carrito.</t>
  </si>
  <si>
    <t>First Name, Last Name y Postal Code son obligatorios.</t>
  </si>
  <si>
    <t>TC-CHK-002, TC-CHK-003, TC-CHK-004, TC-CHK-005</t>
  </si>
  <si>
    <t>El sistema muestra subtotal, impuesto y total final antes de finalizar la compra.</t>
  </si>
  <si>
    <t>TC-CHK-006, TC-CHK-007</t>
  </si>
  <si>
    <t>El usuario puede finalizar la compra y ver mensaje de confirmación.</t>
  </si>
  <si>
    <t>TC-CHK-008, TC-CHK-009</t>
  </si>
  <si>
    <t>El usuario puede cerrar sesión desde el menú lateral.</t>
  </si>
  <si>
    <t>La opción Reset App State limpia el estado del carrito.</t>
  </si>
  <si>
    <t>Datos de prueba</t>
  </si>
  <si>
    <t>Tipo</t>
  </si>
  <si>
    <t>Usuario / Dato</t>
  </si>
  <si>
    <t>Valor</t>
  </si>
  <si>
    <t>Uso</t>
  </si>
  <si>
    <t>Resultado esperado</t>
  </si>
  <si>
    <t>standard_user</t>
  </si>
  <si>
    <t>secret_sauce</t>
  </si>
  <si>
    <t>Login válido</t>
  </si>
  <si>
    <t>Acceso al inventario</t>
  </si>
  <si>
    <t>locked_out_user</t>
  </si>
  <si>
    <t>Negativo</t>
  </si>
  <si>
    <t>Mensaje de usuario bloqueado</t>
  </si>
  <si>
    <t>usuario_inexistente</t>
  </si>
  <si>
    <t>Credenciales inválidas</t>
  </si>
  <si>
    <t>First Name</t>
  </si>
  <si>
    <t>Ana</t>
  </si>
  <si>
    <t>Dato válido</t>
  </si>
  <si>
    <t>Permite continuar</t>
  </si>
  <si>
    <t>Sintético</t>
  </si>
  <si>
    <t>Last Name</t>
  </si>
  <si>
    <t>Tester</t>
  </si>
  <si>
    <t>Postal Code</t>
  </si>
  <si>
    <t>15001</t>
  </si>
  <si>
    <t>Mensaje de obligatorio</t>
  </si>
  <si>
    <t>Plantilla de registro de defectos</t>
  </si>
  <si>
    <t>Bug_ID</t>
  </si>
  <si>
    <t>Título</t>
  </si>
  <si>
    <t>Severidad</t>
  </si>
  <si>
    <t>Precondición</t>
  </si>
  <si>
    <t>Resultado actual</t>
  </si>
  <si>
    <t>Estado</t>
  </si>
  <si>
    <t>BUG-001</t>
  </si>
  <si>
    <t>[Ejemplo] Mensaje inconsistente al dejar Postal Code vacío</t>
  </si>
  <si>
    <t>Usuario en Step One</t>
  </si>
  <si>
    <t>1. Agregar producto
2. Ir a Checkout
3. Dejar Postal Code vacío
4. Continue</t>
  </si>
  <si>
    <t>Se muestra mensaje distinto al esperado</t>
  </si>
  <si>
    <t>Debe mostrarse validación de campo obligatorio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</si>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</sst>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ptos"/>
    </font>
    <font>
      <i/>
      <sz val="11"/>
      <color rgb="FFFFFFFF"/>
      <name val="Aptos"/>
    </font>
    <font>
      <b/>
      <sz val="11"/>
      <color rgb="FFFFFFFF"/>
      <name val="Calibri"/>
    </font>
    <font>
      <sz val="11"/>
      <color rgb="FF444444"/>
      <name val="Calibri"/>
    </font>
    <font>
      <b/>
      <sz val="14"/>
      <color rgb="FF1F4E79"/>
      <name val="Calibri"/>
    </font>
    <font>
      <b/>
      <sz val="12"/>
      <color rgb="FF1F4E79"/>
      <name val="Calibri"/>
    </font>
    <font>
      <b/>
      <sz val="11"/>
      <name val="Calibri"/>
    </font>
    <font>
      <i/>
      <sz val="11"/>
      <color rgb="FF444444"/>
      <name val="Calibri"/>
    </font>
    <font>
      <sz val="11"/>
      <color rgb="FF808080"/>
      <name val="Calibri"/>
    </font>
    <font>
      <b/>
      <sz val="11"/>
      <color rgb="FF0000FF"/>
      <name val="Calibri"/>
    </font>
    <font>
      <b/>
      <sz val="11"/>
      <color rgb="FF9C6500"/>
      <name val="Calibri"/>
    </font>
    <font>
      <b/>
      <sz val="14"/>
      <color rgb="FFFFFFFF"/>
      <name val="Calibri"/>
    </font>
    <font>
      <sz val="11"/>
      <color rgb="FF0000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75B5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3F4F6"/>
      </patternFill>
    </fill>
    <fill>
      <patternFill patternType="solid">
        <fgColor rgb="FFFCE4D6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0" borderId="2" xfId="0" applyFont="1" applyBorder="1"/>
    <xf numFmtId="0" fontId="3" fillId="3" borderId="1" xfId="0" applyFont="1" applyFill="1" applyBorder="1" applyAlignment="1">
      <alignment horizontal="center"/>
    </xf>
    <xf numFmtId="0" fontId="7" fillId="6" borderId="1" xfId="0" applyFont="1" applyFill="1" applyBorder="1"/>
    <xf numFmtId="0" fontId="0" fillId="4" borderId="1" xfId="0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vertical="top" wrapText="1"/>
    </xf>
    <xf numFmtId="0" fontId="13" fillId="4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3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1" fillId="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3">
    <dxf>
      <fill>
        <patternFill>
          <bgColor rgb="FFFFF2CC"/>
        </patternFill>
      </fill>
    </dxf>
    <dxf>
      <fill>
        <patternFill>
          <bgColor rgb="FFFDE9E7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workbookViewId="0">
      <selection activeCell="E4" sqref="E4"/>
    </sheetView>
  </sheetViews>
  <sheetFormatPr baseColWidth="10" defaultColWidth="9.140625" defaultRowHeight="15" x14ac:dyDescent="0.25"/>
  <cols>
    <col min="1" max="1" width="20" customWidth="1"/>
    <col min="2" max="2" width="28" customWidth="1"/>
    <col min="3" max="4" width="16" customWidth="1"/>
    <col min="5" max="5" width="14" customWidth="1"/>
    <col min="6" max="7" width="16" customWidth="1"/>
    <col min="8" max="8" width="14" customWidth="1"/>
  </cols>
  <sheetData>
    <row r="1" spans="1:8" ht="26.1" customHeight="1" x14ac:dyDescent="0.25">
      <c r="A1" s="27" t="s">
        <v>0</v>
      </c>
      <c r="B1" s="25"/>
      <c r="C1" s="25"/>
      <c r="D1" s="25"/>
      <c r="E1" s="25"/>
      <c r="F1" s="25"/>
      <c r="G1" s="25"/>
      <c r="H1" s="26"/>
    </row>
    <row r="2" spans="1:8" x14ac:dyDescent="0.25">
      <c r="A2" s="24" t="s">
        <v>1</v>
      </c>
      <c r="B2" s="25"/>
      <c r="C2" s="25"/>
      <c r="D2" s="25"/>
      <c r="E2" s="25"/>
      <c r="F2" s="25"/>
      <c r="G2" s="25"/>
      <c r="H2" s="26"/>
    </row>
    <row r="4" spans="1:8" ht="18.75" x14ac:dyDescent="0.3">
      <c r="A4" s="1" t="s">
        <v>2</v>
      </c>
      <c r="B4" s="2" t="s">
        <v>3</v>
      </c>
      <c r="D4" s="3" t="s">
        <v>4</v>
      </c>
      <c r="E4" s="4">
        <f>COUNTA(Casos_Prueba!A2:A500)</f>
        <v>36</v>
      </c>
      <c r="F4" s="3" t="s">
        <v>5</v>
      </c>
      <c r="G4" s="4">
        <f>COUNTIF(Casos_Prueba!H2:H500,"Alta")</f>
        <v>21</v>
      </c>
    </row>
    <row r="5" spans="1:8" x14ac:dyDescent="0.25">
      <c r="A5" s="1" t="s">
        <v>6</v>
      </c>
      <c r="B5" s="2" t="s">
        <v>7</v>
      </c>
    </row>
    <row r="6" spans="1:8" ht="18.75" x14ac:dyDescent="0.3">
      <c r="A6" s="1" t="s">
        <v>8</v>
      </c>
      <c r="B6" s="2" t="s">
        <v>9</v>
      </c>
      <c r="D6" s="3" t="s">
        <v>10</v>
      </c>
      <c r="E6" s="4">
        <f>COUNTIF(Casos_Prueba!I2:I500,"Sí")</f>
        <v>34</v>
      </c>
      <c r="F6" s="3" t="s">
        <v>11</v>
      </c>
      <c r="G6" s="4">
        <f>COUNTIF(Casos_Prueba!F2:F500,"Funcional / Smoke")</f>
        <v>6</v>
      </c>
    </row>
    <row r="7" spans="1:8" x14ac:dyDescent="0.25">
      <c r="A7" s="1" t="s">
        <v>12</v>
      </c>
      <c r="B7" s="2" t="s">
        <v>13</v>
      </c>
    </row>
    <row r="10" spans="1:8" ht="15.75" x14ac:dyDescent="0.25">
      <c r="A10" s="5" t="s">
        <v>14</v>
      </c>
      <c r="F10" s="5" t="s">
        <v>15</v>
      </c>
    </row>
    <row r="11" spans="1:8" x14ac:dyDescent="0.25">
      <c r="A11" s="6" t="s">
        <v>16</v>
      </c>
      <c r="B11" s="6" t="s">
        <v>17</v>
      </c>
      <c r="C11" s="6" t="s">
        <v>5</v>
      </c>
      <c r="D11" s="6" t="s">
        <v>10</v>
      </c>
      <c r="F11" s="7" t="s">
        <v>18</v>
      </c>
      <c r="G11" s="8" t="s">
        <v>19</v>
      </c>
    </row>
    <row r="12" spans="1:8" x14ac:dyDescent="0.25">
      <c r="A12" s="9" t="s">
        <v>20</v>
      </c>
      <c r="B12" s="10">
        <f>COUNTIF(Casos_Prueba!C:C,"Login")</f>
        <v>9</v>
      </c>
      <c r="C12" s="10">
        <f>COUNTIFS(Casos_Prueba!C:C,"Login",Casos_Prueba!H:H,"Alta")</f>
        <v>7</v>
      </c>
      <c r="D12" s="10">
        <f>COUNTIFS(Casos_Prueba!C:C,"Login",Casos_Prueba!I:I,"Sí")</f>
        <v>7</v>
      </c>
      <c r="F12" s="7" t="s">
        <v>21</v>
      </c>
      <c r="G12" s="8" t="s">
        <v>22</v>
      </c>
    </row>
    <row r="13" spans="1:8" x14ac:dyDescent="0.25">
      <c r="A13" s="9" t="s">
        <v>23</v>
      </c>
      <c r="B13" s="10">
        <f>COUNTIF(Casos_Prueba!C:C,"Inventario")</f>
        <v>8</v>
      </c>
      <c r="C13" s="10">
        <f>COUNTIFS(Casos_Prueba!C:C,"Inventario",Casos_Prueba!H:H,"Alta")</f>
        <v>2</v>
      </c>
      <c r="D13" s="10">
        <f>COUNTIFS(Casos_Prueba!C:C,"Inventario",Casos_Prueba!I:I,"Sí")</f>
        <v>8</v>
      </c>
      <c r="F13" s="7" t="s">
        <v>24</v>
      </c>
      <c r="G13" s="8" t="s">
        <v>25</v>
      </c>
    </row>
    <row r="14" spans="1:8" x14ac:dyDescent="0.25">
      <c r="A14" s="9" t="s">
        <v>26</v>
      </c>
      <c r="B14" s="10">
        <f>COUNTIF(Casos_Prueba!C:C,"Carrito")</f>
        <v>8</v>
      </c>
      <c r="C14" s="10">
        <f>COUNTIFS(Casos_Prueba!C:C,"Carrito",Casos_Prueba!H:H,"Alta")</f>
        <v>5</v>
      </c>
      <c r="D14" s="10">
        <f>COUNTIFS(Casos_Prueba!C:C,"Carrito",Casos_Prueba!I:I,"Sí")</f>
        <v>8</v>
      </c>
      <c r="F14" s="7" t="s">
        <v>27</v>
      </c>
      <c r="G14" s="8" t="s">
        <v>28</v>
      </c>
    </row>
    <row r="15" spans="1:8" x14ac:dyDescent="0.25">
      <c r="A15" s="9" t="s">
        <v>29</v>
      </c>
      <c r="B15" s="10">
        <f>COUNTIF(Casos_Prueba!C:C,"Checkout")</f>
        <v>9</v>
      </c>
      <c r="C15" s="10">
        <f>COUNTIFS(Casos_Prueba!C:C,"Checkout",Casos_Prueba!H:H,"Alta")</f>
        <v>7</v>
      </c>
      <c r="D15" s="10">
        <f>COUNTIFS(Casos_Prueba!C:C,"Checkout",Casos_Prueba!I:I,"Sí")</f>
        <v>9</v>
      </c>
    </row>
    <row r="16" spans="1:8" x14ac:dyDescent="0.25">
      <c r="A16" s="9" t="s">
        <v>30</v>
      </c>
      <c r="B16" s="10">
        <f>COUNTIF(Casos_Prueba!C:C,"Menú")</f>
        <v>2</v>
      </c>
      <c r="C16" s="10">
        <f>COUNTIFS(Casos_Prueba!C:C,"Menú",Casos_Prueba!H:H,"Alta")</f>
        <v>0</v>
      </c>
      <c r="D16" s="10">
        <f>COUNTIFS(Casos_Prueba!C:C,"Menú",Casos_Prueba!I:I,"Sí")</f>
        <v>2</v>
      </c>
    </row>
    <row r="18" spans="1:8" x14ac:dyDescent="0.25">
      <c r="A18" s="18" t="s">
        <v>31</v>
      </c>
      <c r="B18" s="19"/>
      <c r="C18" s="19"/>
      <c r="D18" s="19"/>
      <c r="E18" s="19"/>
      <c r="F18" s="19"/>
      <c r="G18" s="19"/>
      <c r="H18" s="20"/>
    </row>
    <row r="19" spans="1:8" x14ac:dyDescent="0.25">
      <c r="A19" s="21"/>
      <c r="B19" s="22"/>
      <c r="C19" s="22"/>
      <c r="D19" s="22"/>
      <c r="E19" s="22"/>
      <c r="F19" s="22"/>
      <c r="G19" s="22"/>
      <c r="H19" s="23"/>
    </row>
  </sheetData>
  <mergeCells count="3">
    <mergeCell ref="A18:H19"/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showGridLines="0" tabSelected="1" topLeftCell="A17" workbookViewId="0">
      <selection activeCell="N1" sqref="N1:N1048576"/>
    </sheetView>
  </sheetViews>
  <sheetFormatPr baseColWidth="10" defaultColWidth="9.140625" defaultRowHeight="15" x14ac:dyDescent="0.25"/>
  <cols>
    <col min="1" max="2" width="15" customWidth="1"/>
    <col min="3" max="3" width="14" style="32" customWidth="1"/>
    <col min="4" max="4" width="28" customWidth="1"/>
    <col min="5" max="5" width="32" customWidth="1"/>
    <col min="6" max="6" width="20" customWidth="1"/>
    <col min="7" max="7" width="18" customWidth="1"/>
    <col min="8" max="8" width="11" style="32" customWidth="1"/>
    <col min="9" max="9" width="15" style="30" customWidth="1"/>
    <col min="10" max="11" width="26" customWidth="1"/>
    <col min="12" max="13" width="34" customWidth="1"/>
    <col min="14" max="14" width="16" style="32" customWidth="1"/>
    <col min="15" max="16" width="24" customWidth="1"/>
  </cols>
  <sheetData>
    <row r="1" spans="1:16" ht="27.95" customHeight="1" x14ac:dyDescent="0.25">
      <c r="A1" s="11" t="s">
        <v>32</v>
      </c>
      <c r="B1" s="11" t="s">
        <v>33</v>
      </c>
      <c r="C1" s="11" t="s">
        <v>16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  <c r="N1" s="11" t="s">
        <v>44</v>
      </c>
      <c r="O1" s="11" t="s">
        <v>45</v>
      </c>
      <c r="P1" s="11" t="s">
        <v>46</v>
      </c>
    </row>
    <row r="2" spans="1:16" ht="42" customHeight="1" x14ac:dyDescent="0.25">
      <c r="A2" s="12" t="s">
        <v>47</v>
      </c>
      <c r="B2" s="12" t="s">
        <v>48</v>
      </c>
      <c r="C2" s="31" t="s">
        <v>20</v>
      </c>
      <c r="D2" s="13" t="s">
        <v>49</v>
      </c>
      <c r="E2" s="13" t="s">
        <v>50</v>
      </c>
      <c r="F2" s="13" t="s">
        <v>51</v>
      </c>
      <c r="G2" s="13" t="s">
        <v>52</v>
      </c>
      <c r="H2" s="31" t="s">
        <v>53</v>
      </c>
      <c r="I2" s="29" t="s">
        <v>54</v>
      </c>
      <c r="J2" s="13" t="s">
        <v>55</v>
      </c>
      <c r="K2" s="13" t="s">
        <v>56</v>
      </c>
      <c r="L2" s="13" t="s">
        <v>57</v>
      </c>
      <c r="M2" s="13" t="s">
        <v>58</v>
      </c>
      <c r="N2" s="33" t="s">
        <v>59</v>
      </c>
      <c r="O2" s="13" t="s">
        <v>60</v>
      </c>
      <c r="P2" s="13" t="s">
        <v>7</v>
      </c>
    </row>
    <row r="3" spans="1:16" ht="42" customHeight="1" x14ac:dyDescent="0.25">
      <c r="A3" s="12" t="s">
        <v>61</v>
      </c>
      <c r="B3" s="12" t="s">
        <v>62</v>
      </c>
      <c r="C3" s="31" t="s">
        <v>20</v>
      </c>
      <c r="D3" s="13" t="s">
        <v>63</v>
      </c>
      <c r="E3" s="13" t="s">
        <v>64</v>
      </c>
      <c r="F3" s="13" t="s">
        <v>65</v>
      </c>
      <c r="G3" s="13" t="s">
        <v>52</v>
      </c>
      <c r="H3" s="31" t="s">
        <v>53</v>
      </c>
      <c r="I3" s="29" t="s">
        <v>54</v>
      </c>
      <c r="J3" s="13" t="s">
        <v>66</v>
      </c>
      <c r="K3" s="13" t="s">
        <v>67</v>
      </c>
      <c r="L3" s="13" t="s">
        <v>68</v>
      </c>
      <c r="M3" s="13" t="s">
        <v>69</v>
      </c>
      <c r="N3" s="33" t="s">
        <v>59</v>
      </c>
      <c r="O3" s="13" t="s">
        <v>70</v>
      </c>
      <c r="P3" s="13" t="s">
        <v>7</v>
      </c>
    </row>
    <row r="4" spans="1:16" ht="42" customHeight="1" x14ac:dyDescent="0.25">
      <c r="A4" s="12" t="s">
        <v>71</v>
      </c>
      <c r="B4" s="12" t="s">
        <v>72</v>
      </c>
      <c r="C4" s="31" t="s">
        <v>20</v>
      </c>
      <c r="D4" s="13" t="s">
        <v>73</v>
      </c>
      <c r="E4" s="13" t="s">
        <v>74</v>
      </c>
      <c r="F4" s="13" t="s">
        <v>65</v>
      </c>
      <c r="G4" s="13" t="s">
        <v>75</v>
      </c>
      <c r="H4" s="31" t="s">
        <v>53</v>
      </c>
      <c r="I4" s="29" t="s">
        <v>54</v>
      </c>
      <c r="J4" s="13" t="s">
        <v>66</v>
      </c>
      <c r="K4" s="13" t="s">
        <v>76</v>
      </c>
      <c r="L4" s="13" t="s">
        <v>77</v>
      </c>
      <c r="M4" s="13" t="s">
        <v>78</v>
      </c>
      <c r="N4" s="33" t="s">
        <v>59</v>
      </c>
      <c r="O4" s="13" t="s">
        <v>79</v>
      </c>
      <c r="P4" s="13" t="s">
        <v>7</v>
      </c>
    </row>
    <row r="5" spans="1:16" ht="42" customHeight="1" x14ac:dyDescent="0.25">
      <c r="A5" s="12" t="s">
        <v>80</v>
      </c>
      <c r="B5" s="12" t="s">
        <v>72</v>
      </c>
      <c r="C5" s="31" t="s">
        <v>20</v>
      </c>
      <c r="D5" s="13" t="s">
        <v>81</v>
      </c>
      <c r="E5" s="13" t="s">
        <v>82</v>
      </c>
      <c r="F5" s="13" t="s">
        <v>65</v>
      </c>
      <c r="G5" s="13" t="s">
        <v>75</v>
      </c>
      <c r="H5" s="31" t="s">
        <v>53</v>
      </c>
      <c r="I5" s="29" t="s">
        <v>54</v>
      </c>
      <c r="J5" s="13" t="s">
        <v>66</v>
      </c>
      <c r="K5" s="13" t="s">
        <v>83</v>
      </c>
      <c r="L5" s="13" t="s">
        <v>84</v>
      </c>
      <c r="M5" s="13" t="s">
        <v>85</v>
      </c>
      <c r="N5" s="33" t="s">
        <v>59</v>
      </c>
      <c r="O5" s="13" t="s">
        <v>79</v>
      </c>
      <c r="P5" s="13" t="s">
        <v>7</v>
      </c>
    </row>
    <row r="6" spans="1:16" ht="42" customHeight="1" x14ac:dyDescent="0.25">
      <c r="A6" s="12" t="s">
        <v>86</v>
      </c>
      <c r="B6" s="12" t="s">
        <v>72</v>
      </c>
      <c r="C6" s="31" t="s">
        <v>20</v>
      </c>
      <c r="D6" s="13" t="s">
        <v>87</v>
      </c>
      <c r="E6" s="13" t="s">
        <v>88</v>
      </c>
      <c r="F6" s="13" t="s">
        <v>65</v>
      </c>
      <c r="G6" s="13" t="s">
        <v>75</v>
      </c>
      <c r="H6" s="31" t="s">
        <v>53</v>
      </c>
      <c r="I6" s="29" t="s">
        <v>54</v>
      </c>
      <c r="J6" s="13" t="s">
        <v>66</v>
      </c>
      <c r="K6" s="13" t="s">
        <v>89</v>
      </c>
      <c r="L6" s="13" t="s">
        <v>90</v>
      </c>
      <c r="M6" s="13" t="s">
        <v>78</v>
      </c>
      <c r="N6" s="33" t="s">
        <v>59</v>
      </c>
      <c r="O6" s="13" t="s">
        <v>91</v>
      </c>
      <c r="P6" s="13" t="s">
        <v>7</v>
      </c>
    </row>
    <row r="7" spans="1:16" ht="42" customHeight="1" x14ac:dyDescent="0.25">
      <c r="A7" s="12" t="s">
        <v>92</v>
      </c>
      <c r="B7" s="12" t="s">
        <v>72</v>
      </c>
      <c r="C7" s="31" t="s">
        <v>20</v>
      </c>
      <c r="D7" s="13" t="s">
        <v>93</v>
      </c>
      <c r="E7" s="13" t="s">
        <v>94</v>
      </c>
      <c r="F7" s="13" t="s">
        <v>65</v>
      </c>
      <c r="G7" s="13" t="s">
        <v>52</v>
      </c>
      <c r="H7" s="31" t="s">
        <v>53</v>
      </c>
      <c r="I7" s="29" t="s">
        <v>54</v>
      </c>
      <c r="J7" s="13" t="s">
        <v>66</v>
      </c>
      <c r="K7" s="13" t="s">
        <v>95</v>
      </c>
      <c r="L7" s="13" t="s">
        <v>96</v>
      </c>
      <c r="M7" s="13" t="s">
        <v>97</v>
      </c>
      <c r="N7" s="33" t="s">
        <v>59</v>
      </c>
      <c r="O7" s="13" t="s">
        <v>98</v>
      </c>
      <c r="P7" s="13" t="s">
        <v>7</v>
      </c>
    </row>
    <row r="8" spans="1:16" ht="42" customHeight="1" x14ac:dyDescent="0.25">
      <c r="A8" s="12" t="s">
        <v>99</v>
      </c>
      <c r="B8" s="12" t="s">
        <v>72</v>
      </c>
      <c r="C8" s="31" t="s">
        <v>20</v>
      </c>
      <c r="D8" s="13" t="s">
        <v>100</v>
      </c>
      <c r="E8" s="13" t="s">
        <v>101</v>
      </c>
      <c r="F8" s="13" t="s">
        <v>65</v>
      </c>
      <c r="G8" s="13" t="s">
        <v>52</v>
      </c>
      <c r="H8" s="31" t="s">
        <v>53</v>
      </c>
      <c r="I8" s="29" t="s">
        <v>54</v>
      </c>
      <c r="J8" s="13" t="s">
        <v>66</v>
      </c>
      <c r="K8" s="13" t="s">
        <v>102</v>
      </c>
      <c r="L8" s="13" t="s">
        <v>103</v>
      </c>
      <c r="M8" s="13" t="s">
        <v>97</v>
      </c>
      <c r="N8" s="33" t="s">
        <v>59</v>
      </c>
      <c r="O8" s="13" t="s">
        <v>98</v>
      </c>
      <c r="P8" s="13" t="s">
        <v>7</v>
      </c>
    </row>
    <row r="9" spans="1:16" ht="42" customHeight="1" x14ac:dyDescent="0.25">
      <c r="A9" s="12" t="s">
        <v>104</v>
      </c>
      <c r="B9" s="12" t="s">
        <v>48</v>
      </c>
      <c r="C9" s="31" t="s">
        <v>20</v>
      </c>
      <c r="D9" s="13" t="s">
        <v>105</v>
      </c>
      <c r="E9" s="13" t="s">
        <v>106</v>
      </c>
      <c r="F9" s="13" t="s">
        <v>107</v>
      </c>
      <c r="G9" s="13" t="s">
        <v>108</v>
      </c>
      <c r="H9" s="31" t="s">
        <v>109</v>
      </c>
      <c r="I9" s="29" t="s">
        <v>110</v>
      </c>
      <c r="J9" s="13" t="s">
        <v>111</v>
      </c>
      <c r="K9" s="13" t="s">
        <v>112</v>
      </c>
      <c r="L9" s="13" t="s">
        <v>113</v>
      </c>
      <c r="M9" s="13" t="s">
        <v>114</v>
      </c>
      <c r="N9" s="33" t="s">
        <v>59</v>
      </c>
      <c r="O9" s="13" t="s">
        <v>115</v>
      </c>
      <c r="P9" s="13" t="s">
        <v>7</v>
      </c>
    </row>
    <row r="10" spans="1:16" ht="42" customHeight="1" x14ac:dyDescent="0.25">
      <c r="A10" s="12" t="s">
        <v>116</v>
      </c>
      <c r="B10" s="12" t="s">
        <v>117</v>
      </c>
      <c r="C10" s="31" t="s">
        <v>30</v>
      </c>
      <c r="D10" s="13" t="s">
        <v>118</v>
      </c>
      <c r="E10" s="13" t="s">
        <v>119</v>
      </c>
      <c r="F10" s="13" t="s">
        <v>51</v>
      </c>
      <c r="G10" s="13" t="s">
        <v>108</v>
      </c>
      <c r="H10" s="31" t="s">
        <v>109</v>
      </c>
      <c r="I10" s="29" t="s">
        <v>54</v>
      </c>
      <c r="J10" s="13" t="s">
        <v>111</v>
      </c>
      <c r="K10" s="13" t="s">
        <v>112</v>
      </c>
      <c r="L10" s="13" t="s">
        <v>120</v>
      </c>
      <c r="M10" s="13" t="s">
        <v>121</v>
      </c>
      <c r="N10" s="33" t="s">
        <v>59</v>
      </c>
      <c r="O10" s="13" t="s">
        <v>98</v>
      </c>
      <c r="P10" s="13" t="s">
        <v>7</v>
      </c>
    </row>
    <row r="11" spans="1:16" ht="42" customHeight="1" x14ac:dyDescent="0.25">
      <c r="A11" s="12" t="s">
        <v>122</v>
      </c>
      <c r="B11" s="12" t="s">
        <v>48</v>
      </c>
      <c r="C11" s="31" t="s">
        <v>20</v>
      </c>
      <c r="D11" s="13" t="s">
        <v>123</v>
      </c>
      <c r="E11" s="13" t="s">
        <v>124</v>
      </c>
      <c r="F11" s="13" t="s">
        <v>65</v>
      </c>
      <c r="G11" s="13" t="s">
        <v>125</v>
      </c>
      <c r="H11" s="31" t="s">
        <v>109</v>
      </c>
      <c r="I11" s="29" t="s">
        <v>110</v>
      </c>
      <c r="J11" s="13" t="s">
        <v>126</v>
      </c>
      <c r="K11" s="13" t="s">
        <v>127</v>
      </c>
      <c r="L11" s="13" t="s">
        <v>128</v>
      </c>
      <c r="M11" s="13" t="s">
        <v>129</v>
      </c>
      <c r="N11" s="33" t="s">
        <v>59</v>
      </c>
      <c r="O11" s="13" t="s">
        <v>130</v>
      </c>
      <c r="P11" s="13" t="s">
        <v>7</v>
      </c>
    </row>
    <row r="12" spans="1:16" ht="42" customHeight="1" x14ac:dyDescent="0.25">
      <c r="A12" s="12" t="s">
        <v>131</v>
      </c>
      <c r="B12" s="12" t="s">
        <v>132</v>
      </c>
      <c r="C12" s="31" t="s">
        <v>23</v>
      </c>
      <c r="D12" s="13" t="s">
        <v>133</v>
      </c>
      <c r="E12" s="13" t="s">
        <v>134</v>
      </c>
      <c r="F12" s="13" t="s">
        <v>51</v>
      </c>
      <c r="G12" s="13" t="s">
        <v>135</v>
      </c>
      <c r="H12" s="31" t="s">
        <v>53</v>
      </c>
      <c r="I12" s="29" t="s">
        <v>54</v>
      </c>
      <c r="J12" s="13" t="s">
        <v>136</v>
      </c>
      <c r="K12" s="13" t="s">
        <v>112</v>
      </c>
      <c r="L12" s="13" t="s">
        <v>137</v>
      </c>
      <c r="M12" s="13" t="s">
        <v>138</v>
      </c>
      <c r="N12" s="33" t="s">
        <v>59</v>
      </c>
      <c r="O12" s="13" t="s">
        <v>139</v>
      </c>
      <c r="P12" s="13" t="s">
        <v>7</v>
      </c>
    </row>
    <row r="13" spans="1:16" ht="42" customHeight="1" x14ac:dyDescent="0.25">
      <c r="A13" s="12" t="s">
        <v>140</v>
      </c>
      <c r="B13" s="12" t="s">
        <v>132</v>
      </c>
      <c r="C13" s="31" t="s">
        <v>23</v>
      </c>
      <c r="D13" s="13" t="s">
        <v>141</v>
      </c>
      <c r="E13" s="13" t="s">
        <v>142</v>
      </c>
      <c r="F13" s="13" t="s">
        <v>143</v>
      </c>
      <c r="G13" s="13" t="s">
        <v>144</v>
      </c>
      <c r="H13" s="31" t="s">
        <v>53</v>
      </c>
      <c r="I13" s="29" t="s">
        <v>54</v>
      </c>
      <c r="J13" s="13" t="s">
        <v>145</v>
      </c>
      <c r="K13" s="13" t="s">
        <v>112</v>
      </c>
      <c r="L13" s="13" t="s">
        <v>146</v>
      </c>
      <c r="M13" s="13" t="s">
        <v>147</v>
      </c>
      <c r="N13" s="33" t="s">
        <v>59</v>
      </c>
      <c r="O13" s="13" t="s">
        <v>98</v>
      </c>
      <c r="P13" s="13" t="s">
        <v>7</v>
      </c>
    </row>
    <row r="14" spans="1:16" ht="42" customHeight="1" x14ac:dyDescent="0.25">
      <c r="A14" s="12" t="s">
        <v>148</v>
      </c>
      <c r="B14" s="12" t="s">
        <v>149</v>
      </c>
      <c r="C14" s="31" t="s">
        <v>23</v>
      </c>
      <c r="D14" s="13" t="s">
        <v>150</v>
      </c>
      <c r="E14" s="13" t="s">
        <v>151</v>
      </c>
      <c r="F14" s="13" t="s">
        <v>107</v>
      </c>
      <c r="G14" s="13" t="s">
        <v>135</v>
      </c>
      <c r="H14" s="31" t="s">
        <v>109</v>
      </c>
      <c r="I14" s="29" t="s">
        <v>54</v>
      </c>
      <c r="J14" s="13" t="s">
        <v>145</v>
      </c>
      <c r="K14" s="13" t="s">
        <v>152</v>
      </c>
      <c r="L14" s="13" t="s">
        <v>153</v>
      </c>
      <c r="M14" s="13" t="s">
        <v>154</v>
      </c>
      <c r="N14" s="33" t="s">
        <v>59</v>
      </c>
      <c r="O14" s="13" t="s">
        <v>98</v>
      </c>
      <c r="P14" s="13" t="s">
        <v>7</v>
      </c>
    </row>
    <row r="15" spans="1:16" ht="42" customHeight="1" x14ac:dyDescent="0.25">
      <c r="A15" s="12" t="s">
        <v>155</v>
      </c>
      <c r="B15" s="12" t="s">
        <v>149</v>
      </c>
      <c r="C15" s="31" t="s">
        <v>23</v>
      </c>
      <c r="D15" s="13" t="s">
        <v>156</v>
      </c>
      <c r="E15" s="13" t="s">
        <v>157</v>
      </c>
      <c r="F15" s="13" t="s">
        <v>107</v>
      </c>
      <c r="G15" s="13" t="s">
        <v>135</v>
      </c>
      <c r="H15" s="31" t="s">
        <v>109</v>
      </c>
      <c r="I15" s="29" t="s">
        <v>54</v>
      </c>
      <c r="J15" s="13" t="s">
        <v>145</v>
      </c>
      <c r="K15" s="13" t="s">
        <v>158</v>
      </c>
      <c r="L15" s="13" t="s">
        <v>159</v>
      </c>
      <c r="M15" s="13" t="s">
        <v>160</v>
      </c>
      <c r="N15" s="33" t="s">
        <v>59</v>
      </c>
      <c r="O15" s="13" t="s">
        <v>98</v>
      </c>
      <c r="P15" s="13" t="s">
        <v>7</v>
      </c>
    </row>
    <row r="16" spans="1:16" ht="42" customHeight="1" x14ac:dyDescent="0.25">
      <c r="A16" s="12" t="s">
        <v>161</v>
      </c>
      <c r="B16" s="12" t="s">
        <v>149</v>
      </c>
      <c r="C16" s="31" t="s">
        <v>23</v>
      </c>
      <c r="D16" s="13" t="s">
        <v>162</v>
      </c>
      <c r="E16" s="13" t="s">
        <v>163</v>
      </c>
      <c r="F16" s="13" t="s">
        <v>107</v>
      </c>
      <c r="G16" s="13" t="s">
        <v>135</v>
      </c>
      <c r="H16" s="31" t="s">
        <v>109</v>
      </c>
      <c r="I16" s="29" t="s">
        <v>54</v>
      </c>
      <c r="J16" s="13" t="s">
        <v>145</v>
      </c>
      <c r="K16" s="13" t="s">
        <v>164</v>
      </c>
      <c r="L16" s="13" t="s">
        <v>165</v>
      </c>
      <c r="M16" s="13" t="s">
        <v>166</v>
      </c>
      <c r="N16" s="33" t="s">
        <v>59</v>
      </c>
      <c r="O16" s="13" t="s">
        <v>167</v>
      </c>
      <c r="P16" s="13" t="s">
        <v>7</v>
      </c>
    </row>
    <row r="17" spans="1:16" ht="42" customHeight="1" x14ac:dyDescent="0.25">
      <c r="A17" s="12" t="s">
        <v>168</v>
      </c>
      <c r="B17" s="12" t="s">
        <v>149</v>
      </c>
      <c r="C17" s="31" t="s">
        <v>23</v>
      </c>
      <c r="D17" s="13" t="s">
        <v>169</v>
      </c>
      <c r="E17" s="13" t="s">
        <v>170</v>
      </c>
      <c r="F17" s="13" t="s">
        <v>107</v>
      </c>
      <c r="G17" s="13" t="s">
        <v>135</v>
      </c>
      <c r="H17" s="31" t="s">
        <v>109</v>
      </c>
      <c r="I17" s="29" t="s">
        <v>54</v>
      </c>
      <c r="J17" s="13" t="s">
        <v>145</v>
      </c>
      <c r="K17" s="13" t="s">
        <v>171</v>
      </c>
      <c r="L17" s="13" t="s">
        <v>172</v>
      </c>
      <c r="M17" s="13" t="s">
        <v>173</v>
      </c>
      <c r="N17" s="33" t="s">
        <v>59</v>
      </c>
      <c r="O17" s="13" t="s">
        <v>98</v>
      </c>
      <c r="P17" s="13" t="s">
        <v>7</v>
      </c>
    </row>
    <row r="18" spans="1:16" ht="42" customHeight="1" x14ac:dyDescent="0.25">
      <c r="A18" s="12" t="s">
        <v>174</v>
      </c>
      <c r="B18" s="12" t="s">
        <v>175</v>
      </c>
      <c r="C18" s="31" t="s">
        <v>23</v>
      </c>
      <c r="D18" s="13" t="s">
        <v>176</v>
      </c>
      <c r="E18" s="13" t="s">
        <v>177</v>
      </c>
      <c r="F18" s="13" t="s">
        <v>107</v>
      </c>
      <c r="G18" s="13" t="s">
        <v>108</v>
      </c>
      <c r="H18" s="31" t="s">
        <v>109</v>
      </c>
      <c r="I18" s="29" t="s">
        <v>54</v>
      </c>
      <c r="J18" s="13" t="s">
        <v>145</v>
      </c>
      <c r="K18" s="13" t="s">
        <v>178</v>
      </c>
      <c r="L18" s="13" t="s">
        <v>179</v>
      </c>
      <c r="M18" s="13" t="s">
        <v>180</v>
      </c>
      <c r="N18" s="33" t="s">
        <v>59</v>
      </c>
      <c r="O18" s="13" t="s">
        <v>98</v>
      </c>
      <c r="P18" s="13" t="s">
        <v>7</v>
      </c>
    </row>
    <row r="19" spans="1:16" ht="42" customHeight="1" x14ac:dyDescent="0.25">
      <c r="A19" s="12" t="s">
        <v>181</v>
      </c>
      <c r="B19" s="12" t="s">
        <v>175</v>
      </c>
      <c r="C19" s="31" t="s">
        <v>23</v>
      </c>
      <c r="D19" s="13" t="s">
        <v>182</v>
      </c>
      <c r="E19" s="13" t="s">
        <v>183</v>
      </c>
      <c r="F19" s="13" t="s">
        <v>107</v>
      </c>
      <c r="G19" s="13" t="s">
        <v>108</v>
      </c>
      <c r="H19" s="31" t="s">
        <v>109</v>
      </c>
      <c r="I19" s="29" t="s">
        <v>54</v>
      </c>
      <c r="J19" s="13" t="s">
        <v>184</v>
      </c>
      <c r="K19" s="13" t="s">
        <v>112</v>
      </c>
      <c r="L19" s="13" t="s">
        <v>185</v>
      </c>
      <c r="M19" s="13" t="s">
        <v>186</v>
      </c>
      <c r="N19" s="33" t="s">
        <v>59</v>
      </c>
      <c r="O19" s="13" t="s">
        <v>98</v>
      </c>
      <c r="P19" s="13" t="s">
        <v>7</v>
      </c>
    </row>
    <row r="20" spans="1:16" ht="42" customHeight="1" x14ac:dyDescent="0.25">
      <c r="A20" s="12" t="s">
        <v>187</v>
      </c>
      <c r="B20" s="12" t="s">
        <v>188</v>
      </c>
      <c r="C20" s="31" t="s">
        <v>26</v>
      </c>
      <c r="D20" s="13" t="s">
        <v>189</v>
      </c>
      <c r="E20" s="13" t="s">
        <v>190</v>
      </c>
      <c r="F20" s="13" t="s">
        <v>51</v>
      </c>
      <c r="G20" s="13" t="s">
        <v>135</v>
      </c>
      <c r="H20" s="31" t="s">
        <v>53</v>
      </c>
      <c r="I20" s="29" t="s">
        <v>54</v>
      </c>
      <c r="J20" s="13" t="s">
        <v>111</v>
      </c>
      <c r="K20" s="13" t="s">
        <v>178</v>
      </c>
      <c r="L20" s="13" t="s">
        <v>191</v>
      </c>
      <c r="M20" s="13" t="s">
        <v>192</v>
      </c>
      <c r="N20" s="33" t="s">
        <v>59</v>
      </c>
      <c r="O20" s="13" t="s">
        <v>98</v>
      </c>
      <c r="P20" s="13" t="s">
        <v>7</v>
      </c>
    </row>
    <row r="21" spans="1:16" ht="42" customHeight="1" x14ac:dyDescent="0.25">
      <c r="A21" s="12" t="s">
        <v>193</v>
      </c>
      <c r="B21" s="12" t="s">
        <v>188</v>
      </c>
      <c r="C21" s="31" t="s">
        <v>26</v>
      </c>
      <c r="D21" s="13" t="s">
        <v>194</v>
      </c>
      <c r="E21" s="13" t="s">
        <v>195</v>
      </c>
      <c r="F21" s="13" t="s">
        <v>107</v>
      </c>
      <c r="G21" s="13" t="s">
        <v>135</v>
      </c>
      <c r="H21" s="31" t="s">
        <v>53</v>
      </c>
      <c r="I21" s="29" t="s">
        <v>54</v>
      </c>
      <c r="J21" s="13" t="s">
        <v>145</v>
      </c>
      <c r="K21" s="13" t="s">
        <v>196</v>
      </c>
      <c r="L21" s="13" t="s">
        <v>197</v>
      </c>
      <c r="M21" s="13" t="s">
        <v>198</v>
      </c>
      <c r="N21" s="33" t="s">
        <v>59</v>
      </c>
      <c r="O21" s="13" t="s">
        <v>98</v>
      </c>
      <c r="P21" s="13" t="s">
        <v>7</v>
      </c>
    </row>
    <row r="22" spans="1:16" ht="42" customHeight="1" x14ac:dyDescent="0.25">
      <c r="A22" s="12" t="s">
        <v>199</v>
      </c>
      <c r="B22" s="12" t="s">
        <v>200</v>
      </c>
      <c r="C22" s="31" t="s">
        <v>26</v>
      </c>
      <c r="D22" s="13" t="s">
        <v>201</v>
      </c>
      <c r="E22" s="13" t="s">
        <v>202</v>
      </c>
      <c r="F22" s="13" t="s">
        <v>107</v>
      </c>
      <c r="G22" s="13" t="s">
        <v>135</v>
      </c>
      <c r="H22" s="31" t="s">
        <v>53</v>
      </c>
      <c r="I22" s="29" t="s">
        <v>54</v>
      </c>
      <c r="J22" s="13" t="s">
        <v>203</v>
      </c>
      <c r="K22" s="13" t="s">
        <v>178</v>
      </c>
      <c r="L22" s="13" t="s">
        <v>204</v>
      </c>
      <c r="M22" s="13" t="s">
        <v>205</v>
      </c>
      <c r="N22" s="33" t="s">
        <v>59</v>
      </c>
      <c r="O22" s="13" t="s">
        <v>98</v>
      </c>
      <c r="P22" s="13" t="s">
        <v>7</v>
      </c>
    </row>
    <row r="23" spans="1:16" ht="42" customHeight="1" x14ac:dyDescent="0.25">
      <c r="A23" s="12" t="s">
        <v>206</v>
      </c>
      <c r="B23" s="12" t="s">
        <v>188</v>
      </c>
      <c r="C23" s="31" t="s">
        <v>26</v>
      </c>
      <c r="D23" s="13" t="s">
        <v>207</v>
      </c>
      <c r="E23" s="13" t="s">
        <v>208</v>
      </c>
      <c r="F23" s="13" t="s">
        <v>107</v>
      </c>
      <c r="G23" s="13" t="s">
        <v>108</v>
      </c>
      <c r="H23" s="31" t="s">
        <v>109</v>
      </c>
      <c r="I23" s="29" t="s">
        <v>54</v>
      </c>
      <c r="J23" s="13" t="s">
        <v>209</v>
      </c>
      <c r="K23" s="13" t="s">
        <v>210</v>
      </c>
      <c r="L23" s="13" t="s">
        <v>211</v>
      </c>
      <c r="M23" s="13" t="s">
        <v>212</v>
      </c>
      <c r="N23" s="33" t="s">
        <v>59</v>
      </c>
      <c r="O23" s="13" t="s">
        <v>98</v>
      </c>
      <c r="P23" s="13" t="s">
        <v>7</v>
      </c>
    </row>
    <row r="24" spans="1:16" ht="42" customHeight="1" x14ac:dyDescent="0.25">
      <c r="A24" s="12" t="s">
        <v>213</v>
      </c>
      <c r="B24" s="12" t="s">
        <v>214</v>
      </c>
      <c r="C24" s="31" t="s">
        <v>26</v>
      </c>
      <c r="D24" s="13" t="s">
        <v>215</v>
      </c>
      <c r="E24" s="13" t="s">
        <v>216</v>
      </c>
      <c r="F24" s="13" t="s">
        <v>107</v>
      </c>
      <c r="G24" s="13" t="s">
        <v>108</v>
      </c>
      <c r="H24" s="31" t="s">
        <v>109</v>
      </c>
      <c r="I24" s="29" t="s">
        <v>54</v>
      </c>
      <c r="J24" s="13" t="s">
        <v>217</v>
      </c>
      <c r="K24" s="13" t="s">
        <v>112</v>
      </c>
      <c r="L24" s="13" t="s">
        <v>218</v>
      </c>
      <c r="M24" s="13" t="s">
        <v>219</v>
      </c>
      <c r="N24" s="33" t="s">
        <v>59</v>
      </c>
      <c r="O24" s="13" t="s">
        <v>98</v>
      </c>
      <c r="P24" s="13" t="s">
        <v>7</v>
      </c>
    </row>
    <row r="25" spans="1:16" ht="42" customHeight="1" x14ac:dyDescent="0.25">
      <c r="A25" s="12" t="s">
        <v>220</v>
      </c>
      <c r="B25" s="12" t="s">
        <v>214</v>
      </c>
      <c r="C25" s="31" t="s">
        <v>26</v>
      </c>
      <c r="D25" s="13" t="s">
        <v>221</v>
      </c>
      <c r="E25" s="13" t="s">
        <v>222</v>
      </c>
      <c r="F25" s="13" t="s">
        <v>107</v>
      </c>
      <c r="G25" s="13" t="s">
        <v>144</v>
      </c>
      <c r="H25" s="31" t="s">
        <v>53</v>
      </c>
      <c r="I25" s="29" t="s">
        <v>54</v>
      </c>
      <c r="J25" s="13" t="s">
        <v>217</v>
      </c>
      <c r="K25" s="13" t="s">
        <v>112</v>
      </c>
      <c r="L25" s="13" t="s">
        <v>223</v>
      </c>
      <c r="M25" s="13" t="s">
        <v>224</v>
      </c>
      <c r="N25" s="33" t="s">
        <v>59</v>
      </c>
      <c r="O25" s="13" t="s">
        <v>98</v>
      </c>
      <c r="P25" s="13" t="s">
        <v>7</v>
      </c>
    </row>
    <row r="26" spans="1:16" ht="42" customHeight="1" x14ac:dyDescent="0.25">
      <c r="A26" s="12" t="s">
        <v>225</v>
      </c>
      <c r="B26" s="12" t="s">
        <v>200</v>
      </c>
      <c r="C26" s="31" t="s">
        <v>26</v>
      </c>
      <c r="D26" s="13" t="s">
        <v>226</v>
      </c>
      <c r="E26" s="13" t="s">
        <v>227</v>
      </c>
      <c r="F26" s="13" t="s">
        <v>107</v>
      </c>
      <c r="G26" s="13" t="s">
        <v>135</v>
      </c>
      <c r="H26" s="31" t="s">
        <v>53</v>
      </c>
      <c r="I26" s="29" t="s">
        <v>54</v>
      </c>
      <c r="J26" s="13" t="s">
        <v>228</v>
      </c>
      <c r="K26" s="13" t="s">
        <v>112</v>
      </c>
      <c r="L26" s="13" t="s">
        <v>229</v>
      </c>
      <c r="M26" s="13" t="s">
        <v>230</v>
      </c>
      <c r="N26" s="33" t="s">
        <v>59</v>
      </c>
      <c r="O26" s="13" t="s">
        <v>98</v>
      </c>
      <c r="P26" s="13" t="s">
        <v>7</v>
      </c>
    </row>
    <row r="27" spans="1:16" ht="42" customHeight="1" x14ac:dyDescent="0.25">
      <c r="A27" s="12" t="s">
        <v>231</v>
      </c>
      <c r="B27" s="12" t="s">
        <v>214</v>
      </c>
      <c r="C27" s="31" t="s">
        <v>26</v>
      </c>
      <c r="D27" s="13" t="s">
        <v>232</v>
      </c>
      <c r="E27" s="13" t="s">
        <v>233</v>
      </c>
      <c r="F27" s="13" t="s">
        <v>107</v>
      </c>
      <c r="G27" s="13" t="s">
        <v>108</v>
      </c>
      <c r="H27" s="31" t="s">
        <v>234</v>
      </c>
      <c r="I27" s="29" t="s">
        <v>54</v>
      </c>
      <c r="J27" s="13" t="s">
        <v>235</v>
      </c>
      <c r="K27" s="13" t="s">
        <v>112</v>
      </c>
      <c r="L27" s="13" t="s">
        <v>236</v>
      </c>
      <c r="M27" s="13" t="s">
        <v>237</v>
      </c>
      <c r="N27" s="33" t="s">
        <v>59</v>
      </c>
      <c r="O27" s="13" t="s">
        <v>98</v>
      </c>
      <c r="P27" s="13" t="s">
        <v>7</v>
      </c>
    </row>
    <row r="28" spans="1:16" ht="42" customHeight="1" x14ac:dyDescent="0.25">
      <c r="A28" s="12" t="s">
        <v>238</v>
      </c>
      <c r="B28" s="12" t="s">
        <v>239</v>
      </c>
      <c r="C28" s="31" t="s">
        <v>29</v>
      </c>
      <c r="D28" s="13" t="s">
        <v>240</v>
      </c>
      <c r="E28" s="13" t="s">
        <v>241</v>
      </c>
      <c r="F28" s="13" t="s">
        <v>51</v>
      </c>
      <c r="G28" s="13" t="s">
        <v>108</v>
      </c>
      <c r="H28" s="31" t="s">
        <v>53</v>
      </c>
      <c r="I28" s="29" t="s">
        <v>54</v>
      </c>
      <c r="J28" s="13" t="s">
        <v>242</v>
      </c>
      <c r="K28" s="13" t="s">
        <v>112</v>
      </c>
      <c r="L28" s="13" t="s">
        <v>243</v>
      </c>
      <c r="M28" s="13" t="s">
        <v>244</v>
      </c>
      <c r="N28" s="33" t="s">
        <v>59</v>
      </c>
      <c r="O28" s="13" t="s">
        <v>98</v>
      </c>
      <c r="P28" s="13" t="s">
        <v>7</v>
      </c>
    </row>
    <row r="29" spans="1:16" ht="42" customHeight="1" x14ac:dyDescent="0.25">
      <c r="A29" s="12" t="s">
        <v>245</v>
      </c>
      <c r="B29" s="12" t="s">
        <v>246</v>
      </c>
      <c r="C29" s="31" t="s">
        <v>29</v>
      </c>
      <c r="D29" s="13" t="s">
        <v>247</v>
      </c>
      <c r="E29" s="13" t="s">
        <v>248</v>
      </c>
      <c r="F29" s="13" t="s">
        <v>65</v>
      </c>
      <c r="G29" s="13" t="s">
        <v>75</v>
      </c>
      <c r="H29" s="31" t="s">
        <v>53</v>
      </c>
      <c r="I29" s="29" t="s">
        <v>54</v>
      </c>
      <c r="J29" s="13" t="s">
        <v>249</v>
      </c>
      <c r="K29" s="13" t="s">
        <v>250</v>
      </c>
      <c r="L29" s="13" t="s">
        <v>251</v>
      </c>
      <c r="M29" s="13" t="s">
        <v>252</v>
      </c>
      <c r="N29" s="33" t="s">
        <v>59</v>
      </c>
      <c r="O29" s="13" t="s">
        <v>98</v>
      </c>
      <c r="P29" s="13" t="s">
        <v>7</v>
      </c>
    </row>
    <row r="30" spans="1:16" ht="42" customHeight="1" x14ac:dyDescent="0.25">
      <c r="A30" s="12" t="s">
        <v>253</v>
      </c>
      <c r="B30" s="12" t="s">
        <v>246</v>
      </c>
      <c r="C30" s="31" t="s">
        <v>29</v>
      </c>
      <c r="D30" s="13" t="s">
        <v>254</v>
      </c>
      <c r="E30" s="13" t="s">
        <v>255</v>
      </c>
      <c r="F30" s="13" t="s">
        <v>65</v>
      </c>
      <c r="G30" s="13" t="s">
        <v>75</v>
      </c>
      <c r="H30" s="31" t="s">
        <v>53</v>
      </c>
      <c r="I30" s="29" t="s">
        <v>54</v>
      </c>
      <c r="J30" s="13" t="s">
        <v>249</v>
      </c>
      <c r="K30" s="13" t="s">
        <v>256</v>
      </c>
      <c r="L30" s="13" t="s">
        <v>257</v>
      </c>
      <c r="M30" s="13" t="s">
        <v>258</v>
      </c>
      <c r="N30" s="33" t="s">
        <v>59</v>
      </c>
      <c r="O30" s="13" t="s">
        <v>98</v>
      </c>
      <c r="P30" s="13" t="s">
        <v>7</v>
      </c>
    </row>
    <row r="31" spans="1:16" ht="42" customHeight="1" x14ac:dyDescent="0.25">
      <c r="A31" s="12" t="s">
        <v>259</v>
      </c>
      <c r="B31" s="12" t="s">
        <v>246</v>
      </c>
      <c r="C31" s="31" t="s">
        <v>29</v>
      </c>
      <c r="D31" s="13" t="s">
        <v>260</v>
      </c>
      <c r="E31" s="13" t="s">
        <v>261</v>
      </c>
      <c r="F31" s="13" t="s">
        <v>65</v>
      </c>
      <c r="G31" s="13" t="s">
        <v>75</v>
      </c>
      <c r="H31" s="31" t="s">
        <v>53</v>
      </c>
      <c r="I31" s="29" t="s">
        <v>54</v>
      </c>
      <c r="J31" s="13" t="s">
        <v>249</v>
      </c>
      <c r="K31" s="13" t="s">
        <v>262</v>
      </c>
      <c r="L31" s="13" t="s">
        <v>263</v>
      </c>
      <c r="M31" s="13" t="s">
        <v>264</v>
      </c>
      <c r="N31" s="33" t="s">
        <v>59</v>
      </c>
      <c r="O31" s="13" t="s">
        <v>98</v>
      </c>
      <c r="P31" s="13" t="s">
        <v>7</v>
      </c>
    </row>
    <row r="32" spans="1:16" ht="42" customHeight="1" x14ac:dyDescent="0.25">
      <c r="A32" s="12" t="s">
        <v>265</v>
      </c>
      <c r="B32" s="12" t="s">
        <v>246</v>
      </c>
      <c r="C32" s="31" t="s">
        <v>29</v>
      </c>
      <c r="D32" s="13" t="s">
        <v>266</v>
      </c>
      <c r="E32" s="13" t="s">
        <v>267</v>
      </c>
      <c r="F32" s="13" t="s">
        <v>107</v>
      </c>
      <c r="G32" s="13" t="s">
        <v>108</v>
      </c>
      <c r="H32" s="31" t="s">
        <v>109</v>
      </c>
      <c r="I32" s="29" t="s">
        <v>54</v>
      </c>
      <c r="J32" s="13" t="s">
        <v>249</v>
      </c>
      <c r="K32" s="13" t="s">
        <v>112</v>
      </c>
      <c r="L32" s="13" t="s">
        <v>268</v>
      </c>
      <c r="M32" s="13" t="s">
        <v>269</v>
      </c>
      <c r="N32" s="33" t="s">
        <v>59</v>
      </c>
      <c r="O32" s="13" t="s">
        <v>98</v>
      </c>
      <c r="P32" s="13" t="s">
        <v>7</v>
      </c>
    </row>
    <row r="33" spans="1:16" ht="42" customHeight="1" x14ac:dyDescent="0.25">
      <c r="A33" s="12" t="s">
        <v>270</v>
      </c>
      <c r="B33" s="12" t="s">
        <v>271</v>
      </c>
      <c r="C33" s="31" t="s">
        <v>29</v>
      </c>
      <c r="D33" s="13" t="s">
        <v>272</v>
      </c>
      <c r="E33" s="13" t="s">
        <v>273</v>
      </c>
      <c r="F33" s="13" t="s">
        <v>107</v>
      </c>
      <c r="G33" s="13" t="s">
        <v>135</v>
      </c>
      <c r="H33" s="31" t="s">
        <v>53</v>
      </c>
      <c r="I33" s="29" t="s">
        <v>54</v>
      </c>
      <c r="J33" s="13" t="s">
        <v>274</v>
      </c>
      <c r="K33" s="13" t="s">
        <v>275</v>
      </c>
      <c r="L33" s="13" t="s">
        <v>276</v>
      </c>
      <c r="M33" s="13" t="s">
        <v>277</v>
      </c>
      <c r="N33" s="33" t="s">
        <v>59</v>
      </c>
      <c r="O33" s="13" t="s">
        <v>98</v>
      </c>
      <c r="P33" s="13" t="s">
        <v>7</v>
      </c>
    </row>
    <row r="34" spans="1:16" ht="42" customHeight="1" x14ac:dyDescent="0.25">
      <c r="A34" s="12" t="s">
        <v>278</v>
      </c>
      <c r="B34" s="12" t="s">
        <v>271</v>
      </c>
      <c r="C34" s="31" t="s">
        <v>29</v>
      </c>
      <c r="D34" s="13" t="s">
        <v>279</v>
      </c>
      <c r="E34" s="13" t="s">
        <v>280</v>
      </c>
      <c r="F34" s="13" t="s">
        <v>107</v>
      </c>
      <c r="G34" s="13" t="s">
        <v>144</v>
      </c>
      <c r="H34" s="31" t="s">
        <v>53</v>
      </c>
      <c r="I34" s="29" t="s">
        <v>54</v>
      </c>
      <c r="J34" s="13" t="s">
        <v>281</v>
      </c>
      <c r="K34" s="13" t="s">
        <v>112</v>
      </c>
      <c r="L34" s="13" t="s">
        <v>282</v>
      </c>
      <c r="M34" s="13" t="s">
        <v>283</v>
      </c>
      <c r="N34" s="33" t="s">
        <v>59</v>
      </c>
      <c r="O34" s="13" t="s">
        <v>98</v>
      </c>
      <c r="P34" s="13" t="s">
        <v>7</v>
      </c>
    </row>
    <row r="35" spans="1:16" ht="42" customHeight="1" x14ac:dyDescent="0.25">
      <c r="A35" s="12" t="s">
        <v>284</v>
      </c>
      <c r="B35" s="12" t="s">
        <v>285</v>
      </c>
      <c r="C35" s="31" t="s">
        <v>29</v>
      </c>
      <c r="D35" s="13" t="s">
        <v>286</v>
      </c>
      <c r="E35" s="13" t="s">
        <v>287</v>
      </c>
      <c r="F35" s="13" t="s">
        <v>51</v>
      </c>
      <c r="G35" s="13" t="s">
        <v>108</v>
      </c>
      <c r="H35" s="31" t="s">
        <v>53</v>
      </c>
      <c r="I35" s="29" t="s">
        <v>54</v>
      </c>
      <c r="J35" s="13" t="s">
        <v>288</v>
      </c>
      <c r="K35" s="13" t="s">
        <v>112</v>
      </c>
      <c r="L35" s="13" t="s">
        <v>289</v>
      </c>
      <c r="M35" s="13" t="s">
        <v>290</v>
      </c>
      <c r="N35" s="33" t="s">
        <v>59</v>
      </c>
      <c r="O35" s="13" t="s">
        <v>291</v>
      </c>
      <c r="P35" s="13" t="s">
        <v>7</v>
      </c>
    </row>
    <row r="36" spans="1:16" ht="42" customHeight="1" x14ac:dyDescent="0.25">
      <c r="A36" s="12" t="s">
        <v>292</v>
      </c>
      <c r="B36" s="12" t="s">
        <v>285</v>
      </c>
      <c r="C36" s="31" t="s">
        <v>29</v>
      </c>
      <c r="D36" s="13" t="s">
        <v>293</v>
      </c>
      <c r="E36" s="13" t="s">
        <v>294</v>
      </c>
      <c r="F36" s="13" t="s">
        <v>107</v>
      </c>
      <c r="G36" s="13" t="s">
        <v>108</v>
      </c>
      <c r="H36" s="31" t="s">
        <v>109</v>
      </c>
      <c r="I36" s="29" t="s">
        <v>54</v>
      </c>
      <c r="J36" s="13" t="s">
        <v>295</v>
      </c>
      <c r="K36" s="13" t="s">
        <v>112</v>
      </c>
      <c r="L36" s="13" t="s">
        <v>296</v>
      </c>
      <c r="M36" s="13" t="s">
        <v>297</v>
      </c>
      <c r="N36" s="33" t="s">
        <v>59</v>
      </c>
      <c r="O36" s="13" t="s">
        <v>98</v>
      </c>
      <c r="P36" s="13" t="s">
        <v>7</v>
      </c>
    </row>
    <row r="37" spans="1:16" ht="42" customHeight="1" x14ac:dyDescent="0.25">
      <c r="A37" s="12" t="s">
        <v>298</v>
      </c>
      <c r="B37" s="12" t="s">
        <v>299</v>
      </c>
      <c r="C37" s="31" t="s">
        <v>30</v>
      </c>
      <c r="D37" s="13" t="s">
        <v>300</v>
      </c>
      <c r="E37" s="13" t="s">
        <v>301</v>
      </c>
      <c r="F37" s="13" t="s">
        <v>302</v>
      </c>
      <c r="G37" s="13" t="s">
        <v>108</v>
      </c>
      <c r="H37" s="31" t="s">
        <v>109</v>
      </c>
      <c r="I37" s="29" t="s">
        <v>54</v>
      </c>
      <c r="J37" s="13" t="s">
        <v>217</v>
      </c>
      <c r="K37" s="13" t="s">
        <v>112</v>
      </c>
      <c r="L37" s="13" t="s">
        <v>303</v>
      </c>
      <c r="M37" s="13" t="s">
        <v>304</v>
      </c>
      <c r="N37" s="33" t="s">
        <v>59</v>
      </c>
      <c r="O37" s="13" t="s">
        <v>167</v>
      </c>
      <c r="P37" s="13" t="s">
        <v>7</v>
      </c>
    </row>
  </sheetData>
  <conditionalFormatting sqref="N2:N37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"Bloqueado"</formula>
    </cfRule>
  </conditionalFormatting>
  <dataValidations count="3">
    <dataValidation type="list" sqref="H2:H46" xr:uid="{00000000-0002-0000-0100-000000000000}">
      <formula1>"Alta,Media,Baja"</formula1>
    </dataValidation>
    <dataValidation type="list" sqref="I2:I46" xr:uid="{00000000-0002-0000-0100-000001000000}">
      <formula1>"Sí,No"</formula1>
    </dataValidation>
    <dataValidation type="list" sqref="N2:N46" xr:uid="{00000000-0002-0000-0100-000002000000}">
      <formula1>"No Ejecutado,Pass,Fail,Bloqueado,N/A"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showGridLines="0" workbookViewId="0">
      <selection sqref="A1:G1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2" customWidth="1"/>
    <col min="5" max="5" width="48" customWidth="1"/>
    <col min="6" max="6" width="10" customWidth="1"/>
    <col min="7" max="7" width="20" customWidth="1"/>
  </cols>
  <sheetData>
    <row r="1" spans="1:7" ht="18.75" x14ac:dyDescent="0.3">
      <c r="A1" s="28" t="s">
        <v>305</v>
      </c>
      <c r="B1" s="25"/>
      <c r="C1" s="25"/>
      <c r="D1" s="25"/>
      <c r="E1" s="25"/>
      <c r="F1" s="25"/>
      <c r="G1" s="26"/>
    </row>
    <row r="2" spans="1:7" ht="30" x14ac:dyDescent="0.25">
      <c r="A2" s="15" t="s">
        <v>306</v>
      </c>
      <c r="B2" s="15" t="s">
        <v>16</v>
      </c>
      <c r="C2" s="15" t="s">
        <v>33</v>
      </c>
      <c r="D2" s="15" t="s">
        <v>38</v>
      </c>
      <c r="E2" s="15" t="s">
        <v>307</v>
      </c>
      <c r="F2" s="15" t="s">
        <v>308</v>
      </c>
      <c r="G2" s="15" t="s">
        <v>309</v>
      </c>
    </row>
    <row r="3" spans="1:7" ht="30" x14ac:dyDescent="0.25">
      <c r="A3" s="13" t="s">
        <v>48</v>
      </c>
      <c r="B3" s="13" t="s">
        <v>20</v>
      </c>
      <c r="C3" s="13" t="s">
        <v>310</v>
      </c>
      <c r="D3" s="13" t="s">
        <v>53</v>
      </c>
      <c r="E3" s="13" t="s">
        <v>311</v>
      </c>
      <c r="F3" s="13">
        <v>3</v>
      </c>
      <c r="G3" s="13">
        <v>1</v>
      </c>
    </row>
    <row r="4" spans="1:7" ht="30" x14ac:dyDescent="0.25">
      <c r="A4" s="13" t="s">
        <v>72</v>
      </c>
      <c r="B4" s="13" t="s">
        <v>20</v>
      </c>
      <c r="C4" s="13" t="s">
        <v>312</v>
      </c>
      <c r="D4" s="13" t="s">
        <v>53</v>
      </c>
      <c r="E4" s="13" t="s">
        <v>313</v>
      </c>
      <c r="F4" s="13">
        <v>5</v>
      </c>
      <c r="G4" s="13">
        <v>5</v>
      </c>
    </row>
    <row r="5" spans="1:7" x14ac:dyDescent="0.25">
      <c r="A5" s="13" t="s">
        <v>62</v>
      </c>
      <c r="B5" s="13" t="s">
        <v>20</v>
      </c>
      <c r="C5" s="13" t="s">
        <v>314</v>
      </c>
      <c r="D5" s="13" t="s">
        <v>53</v>
      </c>
      <c r="E5" s="13" t="s">
        <v>61</v>
      </c>
      <c r="F5" s="13">
        <v>1</v>
      </c>
      <c r="G5" s="13">
        <v>1</v>
      </c>
    </row>
    <row r="6" spans="1:7" ht="45" x14ac:dyDescent="0.25">
      <c r="A6" s="13" t="s">
        <v>132</v>
      </c>
      <c r="B6" s="13" t="s">
        <v>23</v>
      </c>
      <c r="C6" s="13" t="s">
        <v>315</v>
      </c>
      <c r="D6" s="13" t="s">
        <v>53</v>
      </c>
      <c r="E6" s="13" t="s">
        <v>316</v>
      </c>
      <c r="F6" s="13">
        <v>2</v>
      </c>
      <c r="G6" s="13">
        <v>2</v>
      </c>
    </row>
    <row r="7" spans="1:7" ht="30" x14ac:dyDescent="0.25">
      <c r="A7" s="13" t="s">
        <v>149</v>
      </c>
      <c r="B7" s="13" t="s">
        <v>23</v>
      </c>
      <c r="C7" s="13" t="s">
        <v>317</v>
      </c>
      <c r="D7" s="13" t="s">
        <v>109</v>
      </c>
      <c r="E7" s="13" t="s">
        <v>318</v>
      </c>
      <c r="F7" s="13">
        <v>4</v>
      </c>
      <c r="G7" s="13">
        <v>4</v>
      </c>
    </row>
    <row r="8" spans="1:7" ht="30" x14ac:dyDescent="0.25">
      <c r="A8" s="13" t="s">
        <v>175</v>
      </c>
      <c r="B8" s="13" t="s">
        <v>23</v>
      </c>
      <c r="C8" s="13" t="s">
        <v>319</v>
      </c>
      <c r="D8" s="13" t="s">
        <v>109</v>
      </c>
      <c r="E8" s="13" t="s">
        <v>320</v>
      </c>
      <c r="F8" s="13">
        <v>2</v>
      </c>
      <c r="G8" s="13">
        <v>2</v>
      </c>
    </row>
    <row r="9" spans="1:7" ht="30" x14ac:dyDescent="0.25">
      <c r="A9" s="13" t="s">
        <v>188</v>
      </c>
      <c r="B9" s="13" t="s">
        <v>26</v>
      </c>
      <c r="C9" s="13" t="s">
        <v>321</v>
      </c>
      <c r="D9" s="13" t="s">
        <v>53</v>
      </c>
      <c r="E9" s="13" t="s">
        <v>322</v>
      </c>
      <c r="F9" s="13">
        <v>3</v>
      </c>
      <c r="G9" s="13">
        <v>3</v>
      </c>
    </row>
    <row r="10" spans="1:7" ht="30" x14ac:dyDescent="0.25">
      <c r="A10" s="13" t="s">
        <v>200</v>
      </c>
      <c r="B10" s="13" t="s">
        <v>26</v>
      </c>
      <c r="C10" s="13" t="s">
        <v>323</v>
      </c>
      <c r="D10" s="13" t="s">
        <v>53</v>
      </c>
      <c r="E10" s="13" t="s">
        <v>324</v>
      </c>
      <c r="F10" s="13">
        <v>2</v>
      </c>
      <c r="G10" s="13">
        <v>2</v>
      </c>
    </row>
    <row r="11" spans="1:7" ht="30" x14ac:dyDescent="0.25">
      <c r="A11" s="13" t="s">
        <v>214</v>
      </c>
      <c r="B11" s="13" t="s">
        <v>26</v>
      </c>
      <c r="C11" s="13" t="s">
        <v>325</v>
      </c>
      <c r="D11" s="13" t="s">
        <v>109</v>
      </c>
      <c r="E11" s="13" t="s">
        <v>326</v>
      </c>
      <c r="F11" s="13">
        <v>3</v>
      </c>
      <c r="G11" s="13">
        <v>3</v>
      </c>
    </row>
    <row r="12" spans="1:7" x14ac:dyDescent="0.25">
      <c r="A12" s="13" t="s">
        <v>239</v>
      </c>
      <c r="B12" s="13" t="s">
        <v>29</v>
      </c>
      <c r="C12" s="13" t="s">
        <v>327</v>
      </c>
      <c r="D12" s="13" t="s">
        <v>53</v>
      </c>
      <c r="E12" s="13" t="s">
        <v>238</v>
      </c>
      <c r="F12" s="13">
        <v>1</v>
      </c>
      <c r="G12" s="13">
        <v>1</v>
      </c>
    </row>
    <row r="13" spans="1:7" ht="30" x14ac:dyDescent="0.25">
      <c r="A13" s="13" t="s">
        <v>246</v>
      </c>
      <c r="B13" s="13" t="s">
        <v>29</v>
      </c>
      <c r="C13" s="13" t="s">
        <v>328</v>
      </c>
      <c r="D13" s="13" t="s">
        <v>53</v>
      </c>
      <c r="E13" s="13" t="s">
        <v>329</v>
      </c>
      <c r="F13" s="13">
        <v>4</v>
      </c>
      <c r="G13" s="13">
        <v>4</v>
      </c>
    </row>
    <row r="14" spans="1:7" ht="30" x14ac:dyDescent="0.25">
      <c r="A14" s="13" t="s">
        <v>271</v>
      </c>
      <c r="B14" s="13" t="s">
        <v>29</v>
      </c>
      <c r="C14" s="13" t="s">
        <v>330</v>
      </c>
      <c r="D14" s="13" t="s">
        <v>53</v>
      </c>
      <c r="E14" s="13" t="s">
        <v>331</v>
      </c>
      <c r="F14" s="13">
        <v>2</v>
      </c>
      <c r="G14" s="13">
        <v>2</v>
      </c>
    </row>
    <row r="15" spans="1:7" ht="30" x14ac:dyDescent="0.25">
      <c r="A15" s="13" t="s">
        <v>285</v>
      </c>
      <c r="B15" s="13" t="s">
        <v>29</v>
      </c>
      <c r="C15" s="13" t="s">
        <v>332</v>
      </c>
      <c r="D15" s="13" t="s">
        <v>53</v>
      </c>
      <c r="E15" s="13" t="s">
        <v>333</v>
      </c>
      <c r="F15" s="13">
        <v>2</v>
      </c>
      <c r="G15" s="13">
        <v>2</v>
      </c>
    </row>
    <row r="16" spans="1:7" ht="30" x14ac:dyDescent="0.25">
      <c r="A16" s="13" t="s">
        <v>117</v>
      </c>
      <c r="B16" s="13" t="s">
        <v>30</v>
      </c>
      <c r="C16" s="13" t="s">
        <v>334</v>
      </c>
      <c r="D16" s="13" t="s">
        <v>109</v>
      </c>
      <c r="E16" s="13" t="s">
        <v>116</v>
      </c>
      <c r="F16" s="13">
        <v>1</v>
      </c>
      <c r="G16" s="13">
        <v>1</v>
      </c>
    </row>
    <row r="17" spans="1:7" ht="30" x14ac:dyDescent="0.25">
      <c r="A17" s="13" t="s">
        <v>299</v>
      </c>
      <c r="B17" s="13" t="s">
        <v>30</v>
      </c>
      <c r="C17" s="13" t="s">
        <v>335</v>
      </c>
      <c r="D17" s="13" t="s">
        <v>109</v>
      </c>
      <c r="E17" s="13" t="s">
        <v>298</v>
      </c>
      <c r="F17" s="13">
        <v>1</v>
      </c>
      <c r="G17" s="13">
        <v>1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14" customWidth="1"/>
    <col min="2" max="3" width="20" customWidth="1"/>
    <col min="4" max="4" width="16" customWidth="1"/>
    <col min="5" max="5" width="28" customWidth="1"/>
    <col min="6" max="6" width="24" customWidth="1"/>
  </cols>
  <sheetData>
    <row r="1" spans="1:6" ht="18.75" x14ac:dyDescent="0.3">
      <c r="A1" s="28" t="s">
        <v>336</v>
      </c>
      <c r="B1" s="25"/>
      <c r="C1" s="25"/>
      <c r="D1" s="25"/>
      <c r="E1" s="25"/>
      <c r="F1" s="26"/>
    </row>
    <row r="2" spans="1:6" x14ac:dyDescent="0.25">
      <c r="A2" s="15" t="s">
        <v>337</v>
      </c>
      <c r="B2" s="15" t="s">
        <v>338</v>
      </c>
      <c r="C2" s="15" t="s">
        <v>339</v>
      </c>
      <c r="D2" s="15" t="s">
        <v>340</v>
      </c>
      <c r="E2" s="15" t="s">
        <v>341</v>
      </c>
      <c r="F2" s="15" t="s">
        <v>46</v>
      </c>
    </row>
    <row r="3" spans="1:6" ht="30" x14ac:dyDescent="0.25">
      <c r="A3" s="16" t="s">
        <v>20</v>
      </c>
      <c r="B3" s="17" t="s">
        <v>342</v>
      </c>
      <c r="C3" s="17" t="s">
        <v>343</v>
      </c>
      <c r="D3" s="13" t="s">
        <v>344</v>
      </c>
      <c r="E3" s="13" t="s">
        <v>345</v>
      </c>
      <c r="F3" s="13" t="s">
        <v>7</v>
      </c>
    </row>
    <row r="4" spans="1:6" ht="30" x14ac:dyDescent="0.25">
      <c r="A4" s="16" t="s">
        <v>20</v>
      </c>
      <c r="B4" s="17" t="s">
        <v>346</v>
      </c>
      <c r="C4" s="17" t="s">
        <v>343</v>
      </c>
      <c r="D4" s="13" t="s">
        <v>347</v>
      </c>
      <c r="E4" s="13" t="s">
        <v>348</v>
      </c>
      <c r="F4" s="13" t="s">
        <v>7</v>
      </c>
    </row>
    <row r="5" spans="1:6" ht="30" x14ac:dyDescent="0.25">
      <c r="A5" s="16" t="s">
        <v>20</v>
      </c>
      <c r="B5" s="17" t="s">
        <v>349</v>
      </c>
      <c r="C5" s="17" t="s">
        <v>343</v>
      </c>
      <c r="D5" s="13" t="s">
        <v>347</v>
      </c>
      <c r="E5" s="13" t="s">
        <v>350</v>
      </c>
      <c r="F5" s="13" t="s">
        <v>7</v>
      </c>
    </row>
    <row r="6" spans="1:6" x14ac:dyDescent="0.25">
      <c r="A6" s="16" t="s">
        <v>29</v>
      </c>
      <c r="B6" s="17" t="s">
        <v>351</v>
      </c>
      <c r="C6" s="17" t="s">
        <v>352</v>
      </c>
      <c r="D6" s="13" t="s">
        <v>353</v>
      </c>
      <c r="E6" s="13" t="s">
        <v>354</v>
      </c>
      <c r="F6" s="13" t="s">
        <v>355</v>
      </c>
    </row>
    <row r="7" spans="1:6" x14ac:dyDescent="0.25">
      <c r="A7" s="16" t="s">
        <v>29</v>
      </c>
      <c r="B7" s="17" t="s">
        <v>356</v>
      </c>
      <c r="C7" s="17" t="s">
        <v>357</v>
      </c>
      <c r="D7" s="13" t="s">
        <v>353</v>
      </c>
      <c r="E7" s="13" t="s">
        <v>354</v>
      </c>
      <c r="F7" s="13" t="s">
        <v>355</v>
      </c>
    </row>
    <row r="8" spans="1:6" x14ac:dyDescent="0.25">
      <c r="A8" s="16" t="s">
        <v>29</v>
      </c>
      <c r="B8" s="17" t="s">
        <v>358</v>
      </c>
      <c r="C8" s="17" t="s">
        <v>359</v>
      </c>
      <c r="D8" s="13" t="s">
        <v>353</v>
      </c>
      <c r="E8" s="13" t="s">
        <v>354</v>
      </c>
      <c r="F8" s="13" t="s">
        <v>355</v>
      </c>
    </row>
    <row r="9" spans="1:6" x14ac:dyDescent="0.25">
      <c r="A9" s="16" t="s">
        <v>29</v>
      </c>
      <c r="B9" s="17" t="s">
        <v>358</v>
      </c>
      <c r="C9" s="17" t="s">
        <v>98</v>
      </c>
      <c r="D9" s="13" t="s">
        <v>347</v>
      </c>
      <c r="E9" s="13" t="s">
        <v>360</v>
      </c>
      <c r="F9" s="13" t="s">
        <v>355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showGridLines="0" workbookViewId="0">
      <selection sqref="A1:J1"/>
    </sheetView>
  </sheetViews>
  <sheetFormatPr baseColWidth="10" defaultColWidth="9.140625" defaultRowHeight="15" x14ac:dyDescent="0.25"/>
  <cols>
    <col min="1" max="1" width="12" customWidth="1"/>
    <col min="2" max="2" width="38" customWidth="1"/>
    <col min="3" max="3" width="14" customWidth="1"/>
    <col min="4" max="5" width="12" customWidth="1"/>
    <col min="6" max="6" width="24" customWidth="1"/>
    <col min="7" max="9" width="30" customWidth="1"/>
    <col min="10" max="10" width="16" customWidth="1"/>
  </cols>
  <sheetData>
    <row r="1" spans="1:10" ht="18.75" x14ac:dyDescent="0.3">
      <c r="A1" s="28" t="s">
        <v>361</v>
      </c>
      <c r="B1" s="25"/>
      <c r="C1" s="25"/>
      <c r="D1" s="25"/>
      <c r="E1" s="25"/>
      <c r="F1" s="25"/>
      <c r="G1" s="25"/>
      <c r="H1" s="25"/>
      <c r="I1" s="25"/>
      <c r="J1" s="26"/>
    </row>
    <row r="2" spans="1:10" x14ac:dyDescent="0.25">
      <c r="A2" s="15" t="s">
        <v>362</v>
      </c>
      <c r="B2" s="15" t="s">
        <v>363</v>
      </c>
      <c r="C2" s="15" t="s">
        <v>16</v>
      </c>
      <c r="D2" s="15" t="s">
        <v>364</v>
      </c>
      <c r="E2" s="15" t="s">
        <v>38</v>
      </c>
      <c r="F2" s="15" t="s">
        <v>365</v>
      </c>
      <c r="G2" s="15" t="s">
        <v>42</v>
      </c>
      <c r="H2" s="15" t="s">
        <v>366</v>
      </c>
      <c r="I2" s="15" t="s">
        <v>341</v>
      </c>
      <c r="J2" s="15" t="s">
        <v>367</v>
      </c>
    </row>
    <row r="3" spans="1:10" ht="42" customHeight="1" x14ac:dyDescent="0.25">
      <c r="A3" s="16" t="s">
        <v>368</v>
      </c>
      <c r="B3" s="13" t="s">
        <v>369</v>
      </c>
      <c r="C3" s="13" t="s">
        <v>29</v>
      </c>
      <c r="D3" s="14" t="s">
        <v>109</v>
      </c>
      <c r="E3" s="14" t="s">
        <v>53</v>
      </c>
      <c r="F3" s="13" t="s">
        <v>370</v>
      </c>
      <c r="G3" s="13" t="s">
        <v>371</v>
      </c>
      <c r="H3" s="13" t="s">
        <v>372</v>
      </c>
      <c r="I3" s="13" t="s">
        <v>373</v>
      </c>
      <c r="J3" s="14" t="s">
        <v>374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Dashboard</vt:lpstr>
      <vt:lpstr>Casos_Prueba</vt:lpstr>
      <vt:lpstr>Matriz_Trazabilidad</vt:lpstr>
      <vt:lpstr>Datos_Prueba</vt:lpstr>
      <vt:lpstr>Defect_Log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ALUMNO - KEWIN CORONEL LOZANO</cp:lastModifiedBy>
  <dcterms:modified xsi:type="dcterms:W3CDTF">2026-03-08T21:02:45Z</dcterms:modified>
</cp:coreProperties>
</file>